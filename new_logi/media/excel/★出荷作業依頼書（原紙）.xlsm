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429" codeName="{899C9086-67A9-5B14-2C2D-5A8001700F7D}"/>
  <workbookPr updateLinks="never" codeName="ThisWorkbook" defaultThemeVersion="124226"/>
  <mc:AlternateContent xmlns:mc="http://schemas.openxmlformats.org/markup-compatibility/2006">
    <mc:Choice Requires="x15">
      <x15ac:absPath xmlns:x15ac="http://schemas.microsoft.com/office/spreadsheetml/2010/11/ac" url="\\192.168.90.212\share\◆在庫表\物流在庫表\★使用・移動厳禁_在庫表\"/>
    </mc:Choice>
  </mc:AlternateContent>
  <xr:revisionPtr revIDLastSave="0" documentId="13_ncr:1_{6625981C-3145-458F-A4DE-55598CE8A834}" xr6:coauthVersionLast="47" xr6:coauthVersionMax="47" xr10:uidLastSave="{00000000-0000-0000-0000-000000000000}"/>
  <bookViews>
    <workbookView xWindow="-18645" yWindow="2115" windowWidth="18480" windowHeight="12390" tabRatio="649" firstSheet="10" activeTab="10" xr2:uid="{00000000-000D-0000-FFFF-FFFF00000000}"/>
  </bookViews>
  <sheets>
    <sheet name="営業" sheetId="8" state="hidden" r:id="rId1"/>
    <sheet name="営業（自由入力）" sheetId="9" state="hidden" r:id="rId2"/>
    <sheet name="発注（自由）" sheetId="10" state="hidden" r:id="rId3"/>
    <sheet name="無地" sheetId="15" state="hidden" r:id="rId4"/>
    <sheet name="ｷｰﾌﾟ" sheetId="5" state="hidden" r:id="rId5"/>
    <sheet name="無地（自由）" sheetId="11" state="hidden" r:id="rId6"/>
    <sheet name="在庫出荷" sheetId="19" state="hidden" r:id="rId7"/>
    <sheet name="楽天" sheetId="14" state="hidden" r:id="rId8"/>
    <sheet name="窓枠" sheetId="13" state="hidden" r:id="rId9"/>
    <sheet name="旧貼付用" sheetId="6" state="hidden" r:id="rId10"/>
    <sheet name="出荷依頼書" sheetId="21" r:id="rId11"/>
    <sheet name="商品" sheetId="1" state="hidden" r:id="rId12"/>
    <sheet name="メーカー加工場" sheetId="4" state="hidden" r:id="rId13"/>
  </sheets>
  <externalReferences>
    <externalReference r:id="rId14"/>
    <externalReference r:id="rId15"/>
  </externalReferences>
  <definedNames>
    <definedName name="GARA">[1]MASTER!$A$2:$A$501</definedName>
    <definedName name="_xlnm.Print_Area" localSheetId="4">ｷｰﾌﾟ!$A$1:$AE$42</definedName>
    <definedName name="_xlnm.Print_Area" localSheetId="0">営業!$A$1:$AH$47</definedName>
    <definedName name="_xlnm.Print_Area" localSheetId="1">'営業（自由入力）'!$A$1:$AH$47</definedName>
    <definedName name="_xlnm.Print_Area" localSheetId="7">楽天!$A$1:$AE$42</definedName>
    <definedName name="_xlnm.Print_Area" localSheetId="6">在庫出荷!$A$1:$S$29</definedName>
    <definedName name="_xlnm.Print_Area" localSheetId="10">出荷依頼書!$A$1:$I$18</definedName>
    <definedName name="_xlnm.Print_Area" localSheetId="8">窓枠!$A$1:$AH$43</definedName>
    <definedName name="_xlnm.Print_Area" localSheetId="2">'発注（自由）'!$A$1:$AH$43</definedName>
    <definedName name="_xlnm.Print_Area" localSheetId="3">無地!$A$1:$AE$42</definedName>
    <definedName name="_xlnm.Print_Area" localSheetId="5">'無地（自由）'!$A$1:$AE$42</definedName>
    <definedName name="加工場転送コンボ">#REF!</definedName>
    <definedName name="加工法コンボ">#REF!</definedName>
    <definedName name="柄名コンボ">[2]MASTER!$A$2:$A$65536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 i="21" l="1"/>
  <c r="F18" i="21" l="1"/>
  <c r="C68" i="4"/>
  <c r="B68" i="4" s="1"/>
  <c r="Q7" i="19"/>
  <c r="AA79" i="4"/>
  <c r="AA80" i="4" s="1"/>
  <c r="Q79" i="4" s="1"/>
  <c r="G26" i="19" s="1"/>
  <c r="Q26" i="19" s="1"/>
  <c r="AA78" i="4"/>
  <c r="Q78" i="4" s="1"/>
  <c r="G25" i="19" s="1"/>
  <c r="C4" i="19" s="1"/>
  <c r="M4" i="19" s="1"/>
  <c r="B75" i="4"/>
  <c r="D7" i="19"/>
  <c r="N7" i="19" s="1"/>
  <c r="C7" i="19"/>
  <c r="M7" i="19" s="1"/>
  <c r="B7" i="19"/>
  <c r="L7" i="19" s="1"/>
  <c r="Q4" i="19"/>
  <c r="P18" i="19"/>
  <c r="R22" i="19"/>
  <c r="F18" i="19"/>
  <c r="F7" i="19"/>
  <c r="P7" i="19" s="1"/>
  <c r="H22" i="19"/>
  <c r="I18" i="15"/>
  <c r="N41" i="15" s="1"/>
  <c r="G1732" i="1"/>
  <c r="G1733" i="1"/>
  <c r="G1734" i="1"/>
  <c r="G1735" i="1"/>
  <c r="G1736" i="1"/>
  <c r="G1737" i="1"/>
  <c r="G1738" i="1"/>
  <c r="G1739" i="1"/>
  <c r="D142" i="4"/>
  <c r="G1740" i="1"/>
  <c r="G4" i="11"/>
  <c r="H21" i="15"/>
  <c r="H14" i="10"/>
  <c r="G4" i="15"/>
  <c r="G5" i="5"/>
  <c r="H88" i="4"/>
  <c r="K96" i="4" s="1"/>
  <c r="AC23" i="9" s="1"/>
  <c r="J15" i="13"/>
  <c r="G4" i="14"/>
  <c r="N41" i="14"/>
  <c r="T68" i="4"/>
  <c r="T70" i="4" s="1"/>
  <c r="B11" i="9" s="1"/>
  <c r="K68" i="4"/>
  <c r="K70" i="4" s="1"/>
  <c r="B11" i="11" s="1"/>
  <c r="Z14" i="13"/>
  <c r="H14" i="13"/>
  <c r="H13" i="13"/>
  <c r="W21" i="11"/>
  <c r="W26" i="9"/>
  <c r="AE3" i="13"/>
  <c r="AB17" i="13" s="1"/>
  <c r="AD19" i="13"/>
  <c r="G4" i="13"/>
  <c r="AE3" i="10"/>
  <c r="AB17" i="10" s="1"/>
  <c r="H25" i="11"/>
  <c r="H26" i="11"/>
  <c r="H27" i="11"/>
  <c r="H28" i="11"/>
  <c r="H29" i="11"/>
  <c r="H30" i="11"/>
  <c r="H31" i="11"/>
  <c r="H32" i="11"/>
  <c r="H33" i="11"/>
  <c r="H34" i="11"/>
  <c r="H35" i="11"/>
  <c r="H36" i="11"/>
  <c r="H37" i="11"/>
  <c r="H38" i="11"/>
  <c r="H24" i="11"/>
  <c r="Z14" i="10"/>
  <c r="G4" i="10"/>
  <c r="H30" i="9"/>
  <c r="H31" i="9"/>
  <c r="H32" i="9"/>
  <c r="H33" i="9"/>
  <c r="H34" i="9"/>
  <c r="H35" i="9"/>
  <c r="H36" i="9"/>
  <c r="H29" i="9"/>
  <c r="K26" i="8"/>
  <c r="H21" i="5"/>
  <c r="N41" i="5"/>
  <c r="D136" i="4"/>
  <c r="AA136" i="4" s="1"/>
  <c r="B78" i="4"/>
  <c r="D128" i="4" s="1"/>
  <c r="D137" i="4"/>
  <c r="Y137" i="4" s="1"/>
  <c r="D138" i="4"/>
  <c r="D139" i="4"/>
  <c r="D165" i="4" s="1"/>
  <c r="D140" i="4"/>
  <c r="D141" i="4"/>
  <c r="D143" i="4"/>
  <c r="T143" i="4"/>
  <c r="D144" i="4"/>
  <c r="D145" i="4"/>
  <c r="AD145" i="4" s="1"/>
  <c r="D146" i="4"/>
  <c r="AA146" i="4" s="1"/>
  <c r="D147" i="4"/>
  <c r="AD147" i="4" s="1"/>
  <c r="D148" i="4"/>
  <c r="D149" i="4"/>
  <c r="D175" i="4" s="1"/>
  <c r="H175" i="4" s="1"/>
  <c r="D150" i="4"/>
  <c r="Y150" i="4" s="1"/>
  <c r="D151" i="4"/>
  <c r="T151" i="4" s="1"/>
  <c r="D152" i="4"/>
  <c r="D178" i="4" s="1"/>
  <c r="D153" i="4"/>
  <c r="H153" i="4" s="1"/>
  <c r="D154" i="4"/>
  <c r="T154" i="4" s="1"/>
  <c r="D135" i="4"/>
  <c r="A88" i="4"/>
  <c r="G5" i="8"/>
  <c r="B77" i="4"/>
  <c r="H37" i="9"/>
  <c r="H39" i="9"/>
  <c r="H41" i="9"/>
  <c r="H43" i="9"/>
  <c r="H40" i="9"/>
  <c r="H38" i="9"/>
  <c r="H42" i="9"/>
  <c r="B71" i="4"/>
  <c r="W17" i="10" s="1"/>
  <c r="N16" i="14"/>
  <c r="B72" i="4"/>
  <c r="B74" i="4" s="1"/>
  <c r="B82" i="4"/>
  <c r="T41" i="10" s="1"/>
  <c r="I96" i="4"/>
  <c r="H23" i="9" s="1"/>
  <c r="K94" i="4"/>
  <c r="AC21" i="9" s="1"/>
  <c r="J88" i="4"/>
  <c r="P15" i="9" s="1"/>
  <c r="I94" i="4"/>
  <c r="H21" i="9" s="1"/>
  <c r="I93" i="4"/>
  <c r="H20" i="9" s="1"/>
  <c r="K91" i="4"/>
  <c r="AC18" i="9" s="1"/>
  <c r="J89" i="4"/>
  <c r="P16" i="9" s="1"/>
  <c r="K89" i="4"/>
  <c r="AC16" i="9" s="1"/>
  <c r="I95" i="4"/>
  <c r="H22" i="9" s="1"/>
  <c r="I88" i="4"/>
  <c r="H15" i="9" s="1"/>
  <c r="I92" i="4"/>
  <c r="H19" i="9" s="1"/>
  <c r="J90" i="4"/>
  <c r="P17" i="9" s="1"/>
  <c r="H143" i="4"/>
  <c r="I89" i="4"/>
  <c r="H16" i="9" s="1"/>
  <c r="I90" i="4"/>
  <c r="H17" i="9" s="1"/>
  <c r="K95" i="4"/>
  <c r="AC22" i="9" s="1"/>
  <c r="J96" i="4"/>
  <c r="P23" i="9" s="1"/>
  <c r="J93" i="4"/>
  <c r="P20" i="9" s="1"/>
  <c r="J94" i="4"/>
  <c r="P21" i="9" s="1"/>
  <c r="K88" i="4"/>
  <c r="AC15" i="9" s="1"/>
  <c r="J95" i="4"/>
  <c r="P22" i="9" s="1"/>
  <c r="K90" i="4"/>
  <c r="AC17" i="9"/>
  <c r="I91" i="4"/>
  <c r="H18" i="9" s="1"/>
  <c r="K93" i="4"/>
  <c r="AC20" i="9" s="1"/>
  <c r="J92" i="4"/>
  <c r="P19" i="9" s="1"/>
  <c r="K92" i="4"/>
  <c r="AC19" i="9" s="1"/>
  <c r="J91" i="4"/>
  <c r="P18" i="9" s="1"/>
  <c r="AD143" i="4"/>
  <c r="D180" i="4"/>
  <c r="AB180" i="4" s="1"/>
  <c r="H139" i="4"/>
  <c r="D179" i="4"/>
  <c r="T179" i="4" s="1"/>
  <c r="D172" i="4"/>
  <c r="W172" i="4" s="1"/>
  <c r="D168" i="4"/>
  <c r="AN168" i="4" s="1"/>
  <c r="T142" i="4"/>
  <c r="AD142" i="4"/>
  <c r="H142" i="4"/>
  <c r="Y142" i="4"/>
  <c r="AA142" i="4"/>
  <c r="AA3" i="8"/>
  <c r="W21" i="5"/>
  <c r="AD165" i="4"/>
  <c r="AH165" i="4" s="1"/>
  <c r="AK179" i="4"/>
  <c r="AD135" i="4"/>
  <c r="D112" i="4" s="1"/>
  <c r="D24" i="15" s="1"/>
  <c r="D161" i="4"/>
  <c r="Z161" i="4" s="1"/>
  <c r="AB161" i="4" s="1"/>
  <c r="AC161" i="4" s="1"/>
  <c r="Y145" i="4"/>
  <c r="AH179" i="4"/>
  <c r="AD180" i="4"/>
  <c r="H154" i="4"/>
  <c r="AA153" i="4"/>
  <c r="AD153" i="4"/>
  <c r="T153" i="4"/>
  <c r="Y153" i="4"/>
  <c r="T150" i="4"/>
  <c r="H150" i="4"/>
  <c r="Z165" i="4"/>
  <c r="W165" i="4"/>
  <c r="H165" i="4"/>
  <c r="T165" i="4"/>
  <c r="D169" i="4"/>
  <c r="AI169" i="4" s="1"/>
  <c r="Y3" i="15"/>
  <c r="AA143" i="4"/>
  <c r="H151" i="4"/>
  <c r="D177" i="4"/>
  <c r="AI177" i="4" s="1"/>
  <c r="AD138" i="4"/>
  <c r="D96" i="4"/>
  <c r="AC23" i="8" s="1"/>
  <c r="E3" i="19"/>
  <c r="O3" i="19" s="1"/>
  <c r="H179" i="4"/>
  <c r="AD179" i="4"/>
  <c r="D162" i="4"/>
  <c r="Z162" i="4" s="1"/>
  <c r="AD151" i="4"/>
  <c r="D173" i="4"/>
  <c r="AB173" i="4" s="1"/>
  <c r="AD139" i="4"/>
  <c r="AA139" i="4"/>
  <c r="Y138" i="4"/>
  <c r="H138" i="4"/>
  <c r="C95" i="4"/>
  <c r="P22" i="8" s="1"/>
  <c r="AA138" i="4"/>
  <c r="Y143" i="4"/>
  <c r="T177" i="4"/>
  <c r="AD141" i="4"/>
  <c r="AA141" i="4"/>
  <c r="D167" i="4"/>
  <c r="H167" i="4" s="1"/>
  <c r="H141" i="4"/>
  <c r="AN180" i="4"/>
  <c r="AI180" i="4"/>
  <c r="AH180" i="4"/>
  <c r="AC180" i="4"/>
  <c r="T180" i="4"/>
  <c r="T161" i="4"/>
  <c r="AA144" i="4"/>
  <c r="T139" i="4"/>
  <c r="Y139" i="4"/>
  <c r="Y151" i="4"/>
  <c r="AA151" i="4"/>
  <c r="Y146" i="4"/>
  <c r="Y123" i="4"/>
  <c r="Y40" i="8" s="1"/>
  <c r="H146" i="4"/>
  <c r="T146" i="4"/>
  <c r="AD146" i="4"/>
  <c r="Y140" i="4"/>
  <c r="D88" i="4"/>
  <c r="AC15" i="8" s="1"/>
  <c r="D89" i="4"/>
  <c r="AC16" i="8" s="1"/>
  <c r="AI167" i="4"/>
  <c r="Z167" i="4"/>
  <c r="AB167" i="4" s="1"/>
  <c r="AC167" i="4" s="1"/>
  <c r="B69" i="4"/>
  <c r="C1" i="5" s="1"/>
  <c r="B70" i="4"/>
  <c r="B11" i="5" s="1"/>
  <c r="Q25" i="19"/>
  <c r="B11" i="8"/>
  <c r="AC175" i="4" l="1"/>
  <c r="AI162" i="4"/>
  <c r="Y149" i="4"/>
  <c r="Y126" i="4" s="1"/>
  <c r="W38" i="5" s="1"/>
  <c r="Y117" i="4"/>
  <c r="Y25" i="10" s="1"/>
  <c r="W168" i="4"/>
  <c r="AC172" i="4"/>
  <c r="H177" i="4"/>
  <c r="AA116" i="4"/>
  <c r="AA33" i="8" s="1"/>
  <c r="AA149" i="4"/>
  <c r="H149" i="4"/>
  <c r="AD161" i="4"/>
  <c r="AH161" i="4" s="1"/>
  <c r="H137" i="4"/>
  <c r="T149" i="4"/>
  <c r="D4" i="19"/>
  <c r="N4" i="19" s="1"/>
  <c r="AI161" i="4"/>
  <c r="AN172" i="4"/>
  <c r="AH177" i="4"/>
  <c r="AD149" i="4"/>
  <c r="AH175" i="4"/>
  <c r="AD137" i="4"/>
  <c r="T147" i="4"/>
  <c r="AK167" i="4"/>
  <c r="Z172" i="4"/>
  <c r="D29" i="8"/>
  <c r="AD172" i="4"/>
  <c r="D24" i="5"/>
  <c r="AB177" i="4"/>
  <c r="T175" i="4"/>
  <c r="AK180" i="4"/>
  <c r="AH172" i="4"/>
  <c r="AN175" i="4"/>
  <c r="AA121" i="4"/>
  <c r="AA123" i="4"/>
  <c r="AN167" i="4"/>
  <c r="AK177" i="4"/>
  <c r="H147" i="4"/>
  <c r="H124" i="4" s="1"/>
  <c r="Z175" i="4"/>
  <c r="AN177" i="4"/>
  <c r="Z180" i="4"/>
  <c r="T167" i="4"/>
  <c r="AI175" i="4"/>
  <c r="B11" i="15"/>
  <c r="W35" i="15"/>
  <c r="AK175" i="4"/>
  <c r="H168" i="4"/>
  <c r="AK168" i="4"/>
  <c r="AB172" i="4"/>
  <c r="AK172" i="4"/>
  <c r="Y154" i="4"/>
  <c r="Y147" i="4"/>
  <c r="AK178" i="4"/>
  <c r="AI178" i="4"/>
  <c r="T178" i="4"/>
  <c r="H178" i="4"/>
  <c r="AD178" i="4"/>
  <c r="AH178" i="4"/>
  <c r="AN178" i="4"/>
  <c r="AC178" i="4"/>
  <c r="AN173" i="4"/>
  <c r="AK173" i="4"/>
  <c r="AC173" i="4"/>
  <c r="C90" i="4"/>
  <c r="P17" i="8" s="1"/>
  <c r="C96" i="4"/>
  <c r="P23" i="8" s="1"/>
  <c r="C89" i="4"/>
  <c r="P16" i="8" s="1"/>
  <c r="C93" i="4"/>
  <c r="P20" i="8" s="1"/>
  <c r="B88" i="4"/>
  <c r="H15" i="8" s="1"/>
  <c r="B92" i="4"/>
  <c r="H19" i="8" s="1"/>
  <c r="B94" i="4"/>
  <c r="H21" i="8" s="1"/>
  <c r="D94" i="4"/>
  <c r="AC21" i="8" s="1"/>
  <c r="D90" i="4"/>
  <c r="AC17" i="8" s="1"/>
  <c r="B89" i="4"/>
  <c r="H16" i="8" s="1"/>
  <c r="C88" i="4"/>
  <c r="P15" i="8" s="1"/>
  <c r="B93" i="4"/>
  <c r="H20" i="8" s="1"/>
  <c r="D95" i="4"/>
  <c r="AC22" i="8" s="1"/>
  <c r="D91" i="4"/>
  <c r="AC18" i="8" s="1"/>
  <c r="C92" i="4"/>
  <c r="P19" i="8" s="1"/>
  <c r="B96" i="4"/>
  <c r="H23" i="8" s="1"/>
  <c r="D174" i="4"/>
  <c r="AC174" i="4" s="1"/>
  <c r="AA148" i="4"/>
  <c r="AA125" i="4" s="1"/>
  <c r="Y37" i="14" s="1"/>
  <c r="AD144" i="4"/>
  <c r="Y144" i="4"/>
  <c r="Y121" i="4" s="1"/>
  <c r="Y38" i="8" s="1"/>
  <c r="D166" i="4"/>
  <c r="AA140" i="4"/>
  <c r="AA117" i="4" s="1"/>
  <c r="Y29" i="5" s="1"/>
  <c r="T119" i="4"/>
  <c r="S31" i="5" s="1"/>
  <c r="Y119" i="4"/>
  <c r="D129" i="4"/>
  <c r="D37" i="10" s="1"/>
  <c r="D124" i="4"/>
  <c r="Y124" i="4"/>
  <c r="Y32" i="10" s="1"/>
  <c r="AA119" i="4"/>
  <c r="Y31" i="15" s="1"/>
  <c r="H128" i="4"/>
  <c r="H36" i="10" s="1"/>
  <c r="D130" i="4"/>
  <c r="D38" i="10" s="1"/>
  <c r="D123" i="4"/>
  <c r="D40" i="8" s="1"/>
  <c r="D126" i="4"/>
  <c r="D131" i="4"/>
  <c r="D39" i="10" s="1"/>
  <c r="D125" i="4"/>
  <c r="D33" i="10" s="1"/>
  <c r="D122" i="4"/>
  <c r="D119" i="4"/>
  <c r="D36" i="8" s="1"/>
  <c r="AH173" i="4"/>
  <c r="D20" i="10"/>
  <c r="AI173" i="4"/>
  <c r="D121" i="4"/>
  <c r="H121" i="4" s="1"/>
  <c r="H33" i="14" s="1"/>
  <c r="B90" i="4"/>
  <c r="H17" i="8" s="1"/>
  <c r="H144" i="4"/>
  <c r="C94" i="4"/>
  <c r="P21" i="8" s="1"/>
  <c r="Y130" i="4"/>
  <c r="Y38" i="10" s="1"/>
  <c r="T131" i="4"/>
  <c r="T39" i="10" s="1"/>
  <c r="B91" i="4"/>
  <c r="H18" i="8" s="1"/>
  <c r="H152" i="4"/>
  <c r="D170" i="4"/>
  <c r="D92" i="4"/>
  <c r="AC19" i="8" s="1"/>
  <c r="D36" i="10"/>
  <c r="D93" i="4"/>
  <c r="AC20" i="8" s="1"/>
  <c r="T116" i="4"/>
  <c r="S28" i="15" s="1"/>
  <c r="W167" i="4"/>
  <c r="AD167" i="4"/>
  <c r="AH167" i="4" s="1"/>
  <c r="C91" i="4"/>
  <c r="P18" i="8" s="1"/>
  <c r="Y115" i="4"/>
  <c r="Y32" i="8" s="1"/>
  <c r="AA113" i="4"/>
  <c r="AA21" i="10" s="1"/>
  <c r="D120" i="4"/>
  <c r="D37" i="8" s="1"/>
  <c r="B95" i="4"/>
  <c r="H22" i="8" s="1"/>
  <c r="T140" i="4"/>
  <c r="T117" i="4" s="1"/>
  <c r="T144" i="4"/>
  <c r="T121" i="4" s="1"/>
  <c r="D115" i="4"/>
  <c r="D27" i="15" s="1"/>
  <c r="T130" i="4"/>
  <c r="T38" i="10" s="1"/>
  <c r="D114" i="4"/>
  <c r="D26" i="5" s="1"/>
  <c r="T126" i="4"/>
  <c r="S38" i="5" s="1"/>
  <c r="T128" i="4"/>
  <c r="T36" i="10" s="1"/>
  <c r="Y127" i="4"/>
  <c r="Y35" i="10" s="1"/>
  <c r="T123" i="4"/>
  <c r="T40" i="8" s="1"/>
  <c r="AA128" i="4"/>
  <c r="AA36" i="10" s="1"/>
  <c r="AA118" i="4"/>
  <c r="Y30" i="15" s="1"/>
  <c r="AA120" i="4"/>
  <c r="Y131" i="4"/>
  <c r="Y39" i="10" s="1"/>
  <c r="Y128" i="4"/>
  <c r="Y36" i="10" s="1"/>
  <c r="Y116" i="4"/>
  <c r="W28" i="5" s="1"/>
  <c r="D118" i="4"/>
  <c r="H118" i="4" s="1"/>
  <c r="H30" i="5" s="1"/>
  <c r="AC177" i="4"/>
  <c r="Y120" i="4"/>
  <c r="Y37" i="8" s="1"/>
  <c r="AA115" i="4"/>
  <c r="D116" i="4"/>
  <c r="H116" i="4" s="1"/>
  <c r="H28" i="5" s="1"/>
  <c r="AA126" i="4"/>
  <c r="Y38" i="15" s="1"/>
  <c r="T127" i="4"/>
  <c r="T35" i="10" s="1"/>
  <c r="T168" i="4"/>
  <c r="T124" i="4"/>
  <c r="Y114" i="4"/>
  <c r="Y31" i="8" s="1"/>
  <c r="H130" i="4"/>
  <c r="H38" i="10" s="1"/>
  <c r="AA37" i="8"/>
  <c r="D38" i="14"/>
  <c r="W31" i="15"/>
  <c r="Y27" i="10"/>
  <c r="Y32" i="5"/>
  <c r="AD166" i="4"/>
  <c r="AH166" i="4" s="1"/>
  <c r="W29" i="15"/>
  <c r="W29" i="5"/>
  <c r="AA38" i="8"/>
  <c r="Y33" i="5"/>
  <c r="AA29" i="10"/>
  <c r="Y33" i="14"/>
  <c r="Y30" i="5"/>
  <c r="S35" i="14"/>
  <c r="S35" i="5"/>
  <c r="H29" i="10"/>
  <c r="W35" i="5"/>
  <c r="Y28" i="15"/>
  <c r="AD173" i="4"/>
  <c r="AD170" i="4"/>
  <c r="D31" i="5"/>
  <c r="AN169" i="4"/>
  <c r="D39" i="8"/>
  <c r="W180" i="4"/>
  <c r="H180" i="4"/>
  <c r="AA3" i="10"/>
  <c r="W21" i="15"/>
  <c r="W26" i="8"/>
  <c r="Y3" i="5"/>
  <c r="Y35" i="15"/>
  <c r="Y31" i="5"/>
  <c r="Y28" i="5"/>
  <c r="S36" i="5"/>
  <c r="D31" i="15"/>
  <c r="D38" i="15"/>
  <c r="AK165" i="4"/>
  <c r="AB165" i="4"/>
  <c r="AC165" i="4" s="1"/>
  <c r="AN165" i="4"/>
  <c r="AI165" i="4"/>
  <c r="W35" i="14"/>
  <c r="Y35" i="5"/>
  <c r="D27" i="10"/>
  <c r="H119" i="4"/>
  <c r="W36" i="15"/>
  <c r="T137" i="4"/>
  <c r="T114" i="4" s="1"/>
  <c r="W170" i="4"/>
  <c r="Z170" i="4"/>
  <c r="AB178" i="4"/>
  <c r="W178" i="4"/>
  <c r="Z178" i="4"/>
  <c r="H145" i="4"/>
  <c r="H122" i="4" s="1"/>
  <c r="H34" i="5" s="1"/>
  <c r="T145" i="4"/>
  <c r="T122" i="4" s="1"/>
  <c r="S34" i="5" s="1"/>
  <c r="AA145" i="4"/>
  <c r="AA122" i="4" s="1"/>
  <c r="Y34" i="5" s="1"/>
  <c r="T141" i="4"/>
  <c r="T118" i="4" s="1"/>
  <c r="S30" i="5" s="1"/>
  <c r="Y141" i="4"/>
  <c r="Y118" i="4" s="1"/>
  <c r="B25" i="19"/>
  <c r="K17" i="10"/>
  <c r="H173" i="4"/>
  <c r="W173" i="4"/>
  <c r="D32" i="5"/>
  <c r="H120" i="4"/>
  <c r="Y31" i="10"/>
  <c r="AA31" i="10"/>
  <c r="Z173" i="4"/>
  <c r="T173" i="4"/>
  <c r="AC170" i="4"/>
  <c r="W177" i="4"/>
  <c r="Z177" i="4"/>
  <c r="AD177" i="4"/>
  <c r="D36" i="14"/>
  <c r="AD169" i="4"/>
  <c r="AH169" i="4" s="1"/>
  <c r="D32" i="15"/>
  <c r="H126" i="4"/>
  <c r="H43" i="8" s="1"/>
  <c r="D42" i="8"/>
  <c r="D163" i="4"/>
  <c r="D171" i="4"/>
  <c r="W171" i="4" s="1"/>
  <c r="AA137" i="4"/>
  <c r="AA114" i="4" s="1"/>
  <c r="Y26" i="15" s="1"/>
  <c r="T152" i="4"/>
  <c r="T129" i="4" s="1"/>
  <c r="T37" i="10" s="1"/>
  <c r="AD152" i="4"/>
  <c r="AA152" i="4"/>
  <c r="AA129" i="4" s="1"/>
  <c r="AA37" i="10" s="1"/>
  <c r="Y152" i="4"/>
  <c r="Y129" i="4" s="1"/>
  <c r="Y37" i="10" s="1"/>
  <c r="D127" i="4"/>
  <c r="AA150" i="4"/>
  <c r="AA127" i="4" s="1"/>
  <c r="AA35" i="10" s="1"/>
  <c r="AA130" i="4"/>
  <c r="AA38" i="10" s="1"/>
  <c r="AD154" i="4"/>
  <c r="AA154" i="4"/>
  <c r="AA131" i="4" s="1"/>
  <c r="AA39" i="10" s="1"/>
  <c r="Y122" i="4"/>
  <c r="AA147" i="4"/>
  <c r="AA124" i="4" s="1"/>
  <c r="AA41" i="8" s="1"/>
  <c r="C1" i="15"/>
  <c r="N16" i="15" s="1"/>
  <c r="W32" i="5"/>
  <c r="W32" i="15"/>
  <c r="D28" i="15"/>
  <c r="D28" i="5"/>
  <c r="D33" i="8"/>
  <c r="S29" i="15"/>
  <c r="S29" i="5"/>
  <c r="T34" i="8"/>
  <c r="T25" i="10"/>
  <c r="D23" i="10"/>
  <c r="D32" i="8"/>
  <c r="W38" i="14"/>
  <c r="W38" i="15"/>
  <c r="Y43" i="8"/>
  <c r="C1" i="10"/>
  <c r="H26" i="10"/>
  <c r="D26" i="15"/>
  <c r="C1" i="8"/>
  <c r="B11" i="10"/>
  <c r="D31" i="8"/>
  <c r="H33" i="15"/>
  <c r="D33" i="5"/>
  <c r="D29" i="10"/>
  <c r="D33" i="15"/>
  <c r="H115" i="4"/>
  <c r="W33" i="5"/>
  <c r="Y29" i="10"/>
  <c r="W33" i="14"/>
  <c r="AA35" i="8"/>
  <c r="AA26" i="10"/>
  <c r="D30" i="5"/>
  <c r="D35" i="8"/>
  <c r="D30" i="15"/>
  <c r="Y27" i="5"/>
  <c r="Y27" i="15"/>
  <c r="AA30" i="8"/>
  <c r="H24" i="10"/>
  <c r="AK162" i="4"/>
  <c r="AD162" i="4"/>
  <c r="AH162" i="4" s="1"/>
  <c r="T162" i="4"/>
  <c r="W162" i="4"/>
  <c r="AB162" i="4"/>
  <c r="AC162" i="4" s="1"/>
  <c r="AN162" i="4"/>
  <c r="H162" i="4"/>
  <c r="AA34" i="10"/>
  <c r="AA43" i="8"/>
  <c r="W26" i="5"/>
  <c r="Y22" i="10"/>
  <c r="W26" i="15"/>
  <c r="Y33" i="15"/>
  <c r="H123" i="4"/>
  <c r="AA24" i="10"/>
  <c r="AI170" i="4"/>
  <c r="AH170" i="4"/>
  <c r="AN170" i="4"/>
  <c r="Z169" i="4"/>
  <c r="D35" i="15"/>
  <c r="AD171" i="4"/>
  <c r="AN171" i="4"/>
  <c r="D30" i="10"/>
  <c r="AN161" i="4"/>
  <c r="W161" i="4"/>
  <c r="AK161" i="4"/>
  <c r="H161" i="4"/>
  <c r="AD168" i="4"/>
  <c r="AH168" i="4" s="1"/>
  <c r="Z168" i="4"/>
  <c r="AB168" i="4" s="1"/>
  <c r="AC168" i="4" s="1"/>
  <c r="C80" i="4"/>
  <c r="AJ13" i="10" s="1"/>
  <c r="B73" i="4"/>
  <c r="AD140" i="4"/>
  <c r="D117" i="4" s="1"/>
  <c r="H140" i="4"/>
  <c r="T120" i="4"/>
  <c r="Y34" i="15"/>
  <c r="T172" i="4"/>
  <c r="H172" i="4"/>
  <c r="AD150" i="4"/>
  <c r="D176" i="4"/>
  <c r="T136" i="4"/>
  <c r="T113" i="4" s="1"/>
  <c r="H136" i="4"/>
  <c r="Y136" i="4"/>
  <c r="Y113" i="4" s="1"/>
  <c r="AB170" i="4"/>
  <c r="T170" i="4"/>
  <c r="Y34" i="14"/>
  <c r="T169" i="4"/>
  <c r="AK169" i="4"/>
  <c r="H169" i="4"/>
  <c r="W36" i="14"/>
  <c r="D41" i="8"/>
  <c r="D36" i="15"/>
  <c r="D34" i="14"/>
  <c r="AD174" i="4"/>
  <c r="AK174" i="4"/>
  <c r="AI168" i="4"/>
  <c r="H129" i="4"/>
  <c r="H37" i="10" s="1"/>
  <c r="AD136" i="4"/>
  <c r="D113" i="4" s="1"/>
  <c r="Z179" i="4"/>
  <c r="AN179" i="4"/>
  <c r="AI179" i="4"/>
  <c r="W179" i="4"/>
  <c r="AB179" i="4"/>
  <c r="AC179" i="4"/>
  <c r="AD175" i="4"/>
  <c r="AB175" i="4"/>
  <c r="W175" i="4"/>
  <c r="T138" i="4"/>
  <c r="T115" i="4" s="1"/>
  <c r="D164" i="4"/>
  <c r="W169" i="4"/>
  <c r="AB169" i="4"/>
  <c r="AC169" i="4" s="1"/>
  <c r="D35" i="14"/>
  <c r="H28" i="10"/>
  <c r="H32" i="15"/>
  <c r="AI172" i="4"/>
  <c r="H135" i="4"/>
  <c r="H112" i="4" s="1"/>
  <c r="T135" i="4"/>
  <c r="T112" i="4" s="1"/>
  <c r="Y135" i="4"/>
  <c r="Y112" i="4" s="1"/>
  <c r="AA135" i="4"/>
  <c r="AA112" i="4" s="1"/>
  <c r="AD148" i="4"/>
  <c r="Y148" i="4"/>
  <c r="Y125" i="4" s="1"/>
  <c r="T148" i="4"/>
  <c r="T125" i="4" s="1"/>
  <c r="H148" i="4"/>
  <c r="H36" i="5" l="1"/>
  <c r="H36" i="15"/>
  <c r="H41" i="8"/>
  <c r="H32" i="10"/>
  <c r="H36" i="14"/>
  <c r="Y25" i="15"/>
  <c r="H30" i="15"/>
  <c r="D27" i="5"/>
  <c r="S28" i="5"/>
  <c r="AA36" i="8"/>
  <c r="S35" i="15"/>
  <c r="H34" i="14"/>
  <c r="T33" i="8"/>
  <c r="T31" i="10"/>
  <c r="AA40" i="8"/>
  <c r="Y35" i="14"/>
  <c r="AA25" i="10"/>
  <c r="W27" i="5"/>
  <c r="H34" i="10"/>
  <c r="Y29" i="15"/>
  <c r="H35" i="8"/>
  <c r="H125" i="4"/>
  <c r="AA34" i="8"/>
  <c r="T27" i="10"/>
  <c r="D26" i="10"/>
  <c r="Y33" i="8"/>
  <c r="D33" i="14"/>
  <c r="T34" i="10"/>
  <c r="Y38" i="5"/>
  <c r="H28" i="15"/>
  <c r="D38" i="8"/>
  <c r="H114" i="4"/>
  <c r="Y34" i="10"/>
  <c r="D24" i="10"/>
  <c r="H131" i="4"/>
  <c r="H39" i="10" s="1"/>
  <c r="Y25" i="5"/>
  <c r="AN174" i="4"/>
  <c r="Y24" i="10"/>
  <c r="Y34" i="8"/>
  <c r="D22" i="10"/>
  <c r="W36" i="5"/>
  <c r="W28" i="15"/>
  <c r="Y41" i="8"/>
  <c r="Y38" i="14"/>
  <c r="H33" i="8"/>
  <c r="W33" i="15"/>
  <c r="Y28" i="10"/>
  <c r="Z174" i="4"/>
  <c r="S33" i="14"/>
  <c r="T38" i="8"/>
  <c r="S33" i="5"/>
  <c r="T29" i="10"/>
  <c r="S33" i="15"/>
  <c r="AA23" i="10"/>
  <c r="AA32" i="8"/>
  <c r="H170" i="4"/>
  <c r="AK170" i="4"/>
  <c r="H33" i="5"/>
  <c r="H38" i="8"/>
  <c r="D34" i="10"/>
  <c r="D38" i="5"/>
  <c r="D43" i="8"/>
  <c r="AA27" i="10"/>
  <c r="AK166" i="4"/>
  <c r="AI166" i="4"/>
  <c r="AN166" i="4"/>
  <c r="H166" i="4"/>
  <c r="W166" i="4"/>
  <c r="T166" i="4"/>
  <c r="Z166" i="4"/>
  <c r="AB166" i="4" s="1"/>
  <c r="AC166" i="4" s="1"/>
  <c r="H174" i="4"/>
  <c r="W174" i="4"/>
  <c r="AB174" i="4"/>
  <c r="AH174" i="4"/>
  <c r="T174" i="4"/>
  <c r="AI174" i="4"/>
  <c r="S38" i="15"/>
  <c r="T43" i="8"/>
  <c r="S38" i="14"/>
  <c r="D34" i="5"/>
  <c r="D34" i="15"/>
  <c r="Y36" i="8"/>
  <c r="W31" i="5"/>
  <c r="W27" i="15"/>
  <c r="Y23" i="10"/>
  <c r="T24" i="10"/>
  <c r="D37" i="14"/>
  <c r="D37" i="15"/>
  <c r="D37" i="5"/>
  <c r="D31" i="10"/>
  <c r="D35" i="5"/>
  <c r="T36" i="8"/>
  <c r="S31" i="15"/>
  <c r="S36" i="14"/>
  <c r="T41" i="8"/>
  <c r="S36" i="15"/>
  <c r="T32" i="10"/>
  <c r="AA28" i="10"/>
  <c r="Y32" i="15"/>
  <c r="D28" i="10"/>
  <c r="D32" i="10"/>
  <c r="D36" i="5"/>
  <c r="AA33" i="10"/>
  <c r="AA42" i="8"/>
  <c r="Y37" i="5"/>
  <c r="Y37" i="15"/>
  <c r="H34" i="15"/>
  <c r="H38" i="5"/>
  <c r="H38" i="15"/>
  <c r="H38" i="14"/>
  <c r="H127" i="4"/>
  <c r="H35" i="10" s="1"/>
  <c r="D35" i="10"/>
  <c r="AD163" i="4"/>
  <c r="AH163" i="4" s="1"/>
  <c r="H163" i="4"/>
  <c r="AN163" i="4"/>
  <c r="AK163" i="4"/>
  <c r="T163" i="4"/>
  <c r="Z163" i="4"/>
  <c r="AB163" i="4" s="1"/>
  <c r="AC163" i="4" s="1"/>
  <c r="W163" i="4"/>
  <c r="AI163" i="4"/>
  <c r="Y35" i="8"/>
  <c r="W30" i="15"/>
  <c r="Y26" i="10"/>
  <c r="W30" i="5"/>
  <c r="H39" i="8"/>
  <c r="H30" i="10"/>
  <c r="AA30" i="10"/>
  <c r="AA32" i="10"/>
  <c r="Y36" i="5"/>
  <c r="Y36" i="14"/>
  <c r="Y36" i="15"/>
  <c r="S30" i="15"/>
  <c r="T35" i="8"/>
  <c r="T26" i="10"/>
  <c r="H27" i="10"/>
  <c r="H31" i="5"/>
  <c r="H36" i="8"/>
  <c r="H31" i="15"/>
  <c r="AA39" i="8"/>
  <c r="Y26" i="5"/>
  <c r="AA31" i="8"/>
  <c r="AA22" i="10"/>
  <c r="H32" i="5"/>
  <c r="H37" i="8"/>
  <c r="T22" i="10"/>
  <c r="S26" i="5"/>
  <c r="T31" i="8"/>
  <c r="W34" i="15"/>
  <c r="Y39" i="8"/>
  <c r="W34" i="14"/>
  <c r="Y30" i="10"/>
  <c r="W34" i="5"/>
  <c r="AK171" i="4"/>
  <c r="AB171" i="4"/>
  <c r="Z171" i="4"/>
  <c r="H171" i="4"/>
  <c r="T171" i="4"/>
  <c r="AH171" i="4"/>
  <c r="AI171" i="4"/>
  <c r="AC171" i="4"/>
  <c r="L25" i="19"/>
  <c r="B3" i="19"/>
  <c r="L3" i="19" s="1"/>
  <c r="S34" i="15"/>
  <c r="S34" i="14"/>
  <c r="T39" i="8"/>
  <c r="T30" i="10"/>
  <c r="S26" i="15"/>
  <c r="S37" i="14"/>
  <c r="S37" i="5"/>
  <c r="T33" i="10"/>
  <c r="T42" i="8"/>
  <c r="S37" i="15"/>
  <c r="W24" i="5"/>
  <c r="Y20" i="10"/>
  <c r="Y29" i="8"/>
  <c r="W24" i="15"/>
  <c r="S25" i="15"/>
  <c r="T21" i="10"/>
  <c r="S25" i="5"/>
  <c r="T30" i="8"/>
  <c r="T37" i="8"/>
  <c r="T28" i="10"/>
  <c r="S32" i="5"/>
  <c r="S32" i="15"/>
  <c r="H31" i="8"/>
  <c r="H26" i="5"/>
  <c r="H26" i="15"/>
  <c r="H22" i="10"/>
  <c r="D30" i="8"/>
  <c r="D21" i="10"/>
  <c r="D25" i="5"/>
  <c r="H113" i="4"/>
  <c r="D25" i="15"/>
  <c r="Z176" i="4"/>
  <c r="AD176" i="4"/>
  <c r="AH176" i="4"/>
  <c r="H176" i="4"/>
  <c r="W176" i="4"/>
  <c r="AN176" i="4"/>
  <c r="T176" i="4"/>
  <c r="AI176" i="4"/>
  <c r="AC176" i="4"/>
  <c r="AB176" i="4"/>
  <c r="AK176" i="4"/>
  <c r="H29" i="8"/>
  <c r="H24" i="5"/>
  <c r="H24" i="15"/>
  <c r="H20" i="10"/>
  <c r="T164" i="4"/>
  <c r="AD164" i="4"/>
  <c r="AH164" i="4" s="1"/>
  <c r="H164" i="4"/>
  <c r="W164" i="4"/>
  <c r="AK164" i="4"/>
  <c r="Z164" i="4"/>
  <c r="AB164" i="4" s="1"/>
  <c r="AC164" i="4" s="1"/>
  <c r="AN164" i="4"/>
  <c r="AI164" i="4"/>
  <c r="W25" i="5"/>
  <c r="Y30" i="8"/>
  <c r="Y21" i="10"/>
  <c r="W25" i="15"/>
  <c r="D29" i="15"/>
  <c r="D25" i="10"/>
  <c r="H117" i="4"/>
  <c r="D29" i="5"/>
  <c r="D34" i="8"/>
  <c r="H35" i="14"/>
  <c r="H35" i="5"/>
  <c r="H40" i="8"/>
  <c r="H35" i="15"/>
  <c r="H31" i="10"/>
  <c r="H27" i="15"/>
  <c r="H32" i="8"/>
  <c r="H23" i="10"/>
  <c r="H27" i="5"/>
  <c r="W37" i="5"/>
  <c r="Y33" i="10"/>
  <c r="W37" i="15"/>
  <c r="W37" i="14"/>
  <c r="Y42" i="8"/>
  <c r="S24" i="15"/>
  <c r="T20" i="10"/>
  <c r="S24" i="5"/>
  <c r="T29" i="8"/>
  <c r="H33" i="10"/>
  <c r="H42" i="8"/>
  <c r="H37" i="14"/>
  <c r="H37" i="15"/>
  <c r="H37" i="5"/>
  <c r="AA20" i="10"/>
  <c r="Y24" i="5"/>
  <c r="AA29" i="8"/>
  <c r="Y24" i="15"/>
  <c r="T23" i="10"/>
  <c r="S27" i="5"/>
  <c r="S27" i="15"/>
  <c r="T32" i="8"/>
  <c r="AA23" i="5" l="1"/>
  <c r="AA23" i="14"/>
  <c r="AD19" i="10"/>
  <c r="AA23" i="15"/>
  <c r="AD28" i="8"/>
  <c r="H29" i="5"/>
  <c r="H34" i="8"/>
  <c r="H25" i="10"/>
  <c r="H29" i="15"/>
  <c r="H21" i="10"/>
  <c r="H30" i="8"/>
  <c r="H25" i="5"/>
  <c r="H25" i="15"/>
</calcChain>
</file>

<file path=xl/sharedStrings.xml><?xml version="1.0" encoding="utf-8"?>
<sst xmlns="http://schemas.openxmlformats.org/spreadsheetml/2006/main" count="9069" uniqueCount="3801">
  <si>
    <t>〒760-0080  香川県高松市木太町5116番地20号　（087-869-8080）</t>
    <phoneticPr fontId="11"/>
  </si>
  <si>
    <t xml:space="preserve"> □お客様に直送</t>
    <phoneticPr fontId="11"/>
  </si>
  <si>
    <t>プラスワン</t>
    <phoneticPr fontId="11"/>
  </si>
  <si>
    <t>カラー/サイズ</t>
    <phoneticPr fontId="11"/>
  </si>
  <si>
    <t>⇒</t>
    <phoneticPr fontId="6"/>
  </si>
  <si>
    <t>1993sowa</t>
    <phoneticPr fontId="6"/>
  </si>
  <si>
    <t>長袖ブルゾン　1993</t>
    <phoneticPr fontId="6"/>
  </si>
  <si>
    <t>UZT368</t>
    <phoneticPr fontId="6"/>
  </si>
  <si>
    <t>UZT368</t>
    <phoneticPr fontId="6"/>
  </si>
  <si>
    <t>ブーツカットパンツUZT368　【レディース】</t>
    <phoneticPr fontId="6"/>
  </si>
  <si>
    <t>担当</t>
    <rPh sb="0" eb="2">
      <t>タントウ</t>
    </rPh>
    <phoneticPr fontId="6"/>
  </si>
  <si>
    <t>出荷日</t>
    <rPh sb="0" eb="3">
      <t>シュッカビ</t>
    </rPh>
    <phoneticPr fontId="6"/>
  </si>
  <si>
    <t>合計</t>
    <rPh sb="0" eb="2">
      <t>ゴウケイ</t>
    </rPh>
    <phoneticPr fontId="6"/>
  </si>
  <si>
    <t>【</t>
    <phoneticPr fontId="11"/>
  </si>
  <si>
    <t>東洋染工</t>
    <rPh sb="0" eb="2">
      <t>トウヨウ</t>
    </rPh>
    <rPh sb="2" eb="4">
      <t>センコウ</t>
    </rPh>
    <phoneticPr fontId="6"/>
  </si>
  <si>
    <t>㈱プラスワンインターナショナル
（FAX：087-8６6-8288）</t>
    <phoneticPr fontId="11"/>
  </si>
  <si>
    <t>キープNo.</t>
    <phoneticPr fontId="11"/>
  </si>
  <si>
    <t>キープ</t>
    <phoneticPr fontId="11"/>
  </si>
  <si>
    <t>キャンセル</t>
    <phoneticPr fontId="11"/>
  </si>
  <si>
    <t xml:space="preserve"> □ 取り揃い次第、まとめて発送して下さい→　発送予定日お知らせ下さい</t>
    <phoneticPr fontId="11"/>
  </si>
  <si>
    <t>TEL：</t>
    <phoneticPr fontId="6"/>
  </si>
  <si>
    <t>～</t>
    <phoneticPr fontId="6"/>
  </si>
  <si>
    <t>プラスワン</t>
    <phoneticPr fontId="6"/>
  </si>
  <si>
    <t>カラー/サイズ</t>
    <phoneticPr fontId="11"/>
  </si>
  <si>
    <t>窓枠つきハンドタオル</t>
    <rPh sb="0" eb="2">
      <t>マドワク</t>
    </rPh>
    <phoneticPr fontId="6"/>
  </si>
  <si>
    <t>ホワイト</t>
    <phoneticPr fontId="6"/>
  </si>
  <si>
    <t>Ｐ1入れの場合：到着後、加工場転送⇒</t>
    <phoneticPr fontId="11"/>
  </si>
  <si>
    <t>□同送物有の場合⇒</t>
    <phoneticPr fontId="6"/>
  </si>
  <si>
    <t>UZT437</t>
    <phoneticPr fontId="6"/>
  </si>
  <si>
    <t>UZT437</t>
    <phoneticPr fontId="6"/>
  </si>
  <si>
    <t>ベストエプロンUZT437　【男女兼用】</t>
    <phoneticPr fontId="6"/>
  </si>
  <si>
    <t>LH-3000</t>
    <phoneticPr fontId="6"/>
  </si>
  <si>
    <t>LH-3000</t>
    <phoneticPr fontId="6"/>
  </si>
  <si>
    <t>イタリアンコックコート（衿グリーン）</t>
    <phoneticPr fontId="6"/>
  </si>
  <si>
    <t>無地（自由入力）用</t>
    <rPh sb="0" eb="2">
      <t>ムジ</t>
    </rPh>
    <rPh sb="3" eb="5">
      <t>ジユウ</t>
    </rPh>
    <rPh sb="5" eb="7">
      <t>ニュウリョク</t>
    </rPh>
    <rPh sb="8" eb="9">
      <t>ヨウ</t>
    </rPh>
    <phoneticPr fontId="6"/>
  </si>
  <si>
    <t>1253-01</t>
    <phoneticPr fontId="6"/>
  </si>
  <si>
    <t>9.0ozトライブレンドスウェットプルオーバーパーカー</t>
    <phoneticPr fontId="6"/>
  </si>
  <si>
    <t>SA-300</t>
  </si>
  <si>
    <t>SA-300</t>
    <phoneticPr fontId="6"/>
  </si>
  <si>
    <t>バンダナ（ギンガムチェック）</t>
    <phoneticPr fontId="6"/>
  </si>
  <si>
    <t>T-7500</t>
    <phoneticPr fontId="6"/>
  </si>
  <si>
    <t>エプロン　T-7500</t>
    <phoneticPr fontId="6"/>
  </si>
  <si>
    <t>1055-04</t>
  </si>
  <si>
    <t>1059-04</t>
    <phoneticPr fontId="6"/>
  </si>
  <si>
    <t>1063-04</t>
    <phoneticPr fontId="6"/>
  </si>
  <si>
    <t>3.8ozドルマンスリーブボーダーTシャツ</t>
    <phoneticPr fontId="6"/>
  </si>
  <si>
    <t>3.8ozボーダータンクトップ</t>
    <phoneticPr fontId="6"/>
  </si>
  <si>
    <t>4.1ozフレンチテリースリーブTシャツ</t>
    <phoneticPr fontId="6"/>
  </si>
  <si>
    <t>FR-9200</t>
    <phoneticPr fontId="6"/>
  </si>
  <si>
    <t>FR-9200</t>
    <phoneticPr fontId="6"/>
  </si>
  <si>
    <t>キレイな三角巾（光触媒加工）</t>
    <phoneticPr fontId="6"/>
  </si>
  <si>
    <t>AS-6001</t>
    <phoneticPr fontId="6"/>
  </si>
  <si>
    <t>AS-6001</t>
    <phoneticPr fontId="6"/>
  </si>
  <si>
    <t>イージーパンツ【男女兼用】AS-6001</t>
    <phoneticPr fontId="6"/>
  </si>
  <si>
    <t>ジャンパースカートDN-7146</t>
    <phoneticPr fontId="6"/>
  </si>
  <si>
    <t>DN-7146</t>
    <phoneticPr fontId="6"/>
  </si>
  <si>
    <t>DN-7146</t>
    <phoneticPr fontId="6"/>
  </si>
  <si>
    <t>株式会社SDS</t>
    <rPh sb="0" eb="4">
      <t>カ</t>
    </rPh>
    <phoneticPr fontId="6"/>
  </si>
  <si>
    <t>(株)SDS</t>
    <phoneticPr fontId="6"/>
  </si>
  <si>
    <t xml:space="preserve"> □(株)SDS</t>
    <phoneticPr fontId="6"/>
  </si>
  <si>
    <t>吉岡商店</t>
    <phoneticPr fontId="6"/>
  </si>
  <si>
    <t xml:space="preserve"> 〒794-0112　愛媛県今治市玉川町小鴨部甲63</t>
    <phoneticPr fontId="6"/>
  </si>
  <si>
    <t>吉岡商店</t>
    <phoneticPr fontId="6"/>
  </si>
  <si>
    <t xml:space="preserve"> □吉岡商店</t>
    <phoneticPr fontId="6"/>
  </si>
  <si>
    <t>スラックス　7229</t>
    <phoneticPr fontId="6"/>
  </si>
  <si>
    <t>SA-4500</t>
    <phoneticPr fontId="6"/>
  </si>
  <si>
    <t>コットンストレッチシャツ（七分袖）</t>
    <phoneticPr fontId="6"/>
  </si>
  <si>
    <t>00763-CUB</t>
    <phoneticPr fontId="6"/>
  </si>
  <si>
    <t>ポリカジュアルバッグ</t>
    <phoneticPr fontId="6"/>
  </si>
  <si>
    <t>Printstarバンダナ</t>
    <phoneticPr fontId="6"/>
  </si>
  <si>
    <t>00763-CUB</t>
    <phoneticPr fontId="6"/>
  </si>
  <si>
    <t>00762-ENN</t>
    <phoneticPr fontId="6"/>
  </si>
  <si>
    <t>00762-ENN</t>
    <phoneticPr fontId="6"/>
  </si>
  <si>
    <t>ナチュラルファイルバッグ</t>
    <phoneticPr fontId="6"/>
  </si>
  <si>
    <t>00508-CMB</t>
  </si>
  <si>
    <t>00509-CLB</t>
  </si>
  <si>
    <t>カジュアルバッグ（Ｍ）</t>
  </si>
  <si>
    <t>カジュアルバッグ（Ｌ）</t>
    <phoneticPr fontId="6"/>
  </si>
  <si>
    <t>スクエアトート</t>
  </si>
  <si>
    <t>2wayバッグ</t>
  </si>
  <si>
    <t>メッシュダブルファスナーポーチ</t>
  </si>
  <si>
    <t>トート型バッグ</t>
    <rPh sb="3" eb="4">
      <t>カタ</t>
    </rPh>
    <phoneticPr fontId="5"/>
  </si>
  <si>
    <t>1516-01</t>
  </si>
  <si>
    <t>10.0oz　スウェット　トートバック（パイル）</t>
    <phoneticPr fontId="6"/>
  </si>
  <si>
    <t>1579-01</t>
  </si>
  <si>
    <t>ナイロンワンショルダーバッグ（ポケット付）</t>
    <rPh sb="19" eb="20">
      <t>ツ</t>
    </rPh>
    <phoneticPr fontId="5"/>
  </si>
  <si>
    <t>1580-01</t>
  </si>
  <si>
    <t>ナイロンショッピングバッグ（ポケット付）</t>
    <rPh sb="18" eb="19">
      <t>ツ</t>
    </rPh>
    <phoneticPr fontId="5"/>
  </si>
  <si>
    <t>5524-01</t>
  </si>
  <si>
    <t>5525-01</t>
  </si>
  <si>
    <t>1099-01</t>
  </si>
  <si>
    <t>デニム　ショートスリーブ　シャツ</t>
  </si>
  <si>
    <t>1067-01</t>
  </si>
  <si>
    <t>デニム　ロングスリーブ　シャツ</t>
  </si>
  <si>
    <t>1647-01</t>
  </si>
  <si>
    <t>ショートスリーブ　ワークシャツ</t>
  </si>
  <si>
    <t>1257-01</t>
  </si>
  <si>
    <t>ショートスリーブ　オープンカラーシャツ</t>
  </si>
  <si>
    <t>1258-01</t>
  </si>
  <si>
    <t>ショートスリーブ　ボーリングシャツ</t>
  </si>
  <si>
    <t>1069-01</t>
  </si>
  <si>
    <t>オックスフォードボタンダウン　ロングスリーブ　シャツ</t>
  </si>
  <si>
    <t>1068-01</t>
  </si>
  <si>
    <t>オックスフォードボタンダウン　ショートスリーブ　シャツ</t>
  </si>
  <si>
    <t>2080-01</t>
  </si>
  <si>
    <t>カーキトラウザーズ</t>
  </si>
  <si>
    <t>2034-01</t>
  </si>
  <si>
    <t>カーゴパンツ（カモフラージュ）</t>
  </si>
  <si>
    <t>00727-ACC</t>
  </si>
  <si>
    <t>アクティブドライキャップ</t>
  </si>
  <si>
    <t>1578-01</t>
  </si>
  <si>
    <t>10.0oz　スウェット　ハンドウォーマー</t>
    <phoneticPr fontId="6"/>
  </si>
  <si>
    <t>00158-HGT</t>
  </si>
  <si>
    <t>ハイグレートＴシャツ</t>
  </si>
  <si>
    <t>00145-LOG</t>
  </si>
  <si>
    <t>ライトオーガニックＴシャツ</t>
  </si>
  <si>
    <t>5401-07</t>
  </si>
  <si>
    <t>5.0オンスＰ.Ｆ.ＤＴシャツ</t>
  </si>
  <si>
    <t>5001-07</t>
  </si>
  <si>
    <t>5.6オンスP.F.DＴシャツ</t>
    <phoneticPr fontId="6"/>
  </si>
  <si>
    <t>5806-01</t>
  </si>
  <si>
    <t>4.0オンスＴシャツ</t>
  </si>
  <si>
    <t>1098-01</t>
  </si>
  <si>
    <t>4.4ozトライブレンドＶネックＴシャツ</t>
    <phoneticPr fontId="6"/>
  </si>
  <si>
    <t>1098-01</t>
    <phoneticPr fontId="6"/>
  </si>
  <si>
    <t>00327-LACT</t>
  </si>
  <si>
    <t>00327-LACT</t>
    <phoneticPr fontId="6"/>
  </si>
  <si>
    <t>ライトドライTシャツ</t>
    <phoneticPr fontId="6"/>
  </si>
  <si>
    <t>ジンベイ（半袖）【男女兼用】DN-6856</t>
    <phoneticPr fontId="6"/>
  </si>
  <si>
    <t>178-NCP</t>
    <phoneticPr fontId="6"/>
  </si>
  <si>
    <t>5052-01</t>
    <phoneticPr fontId="6"/>
  </si>
  <si>
    <t>5052-01</t>
    <phoneticPr fontId="6"/>
  </si>
  <si>
    <t>5.3オンスドライCVCポロシャツ</t>
    <phoneticPr fontId="6"/>
  </si>
  <si>
    <t>EP-7348</t>
    <phoneticPr fontId="6"/>
  </si>
  <si>
    <t>EP-7348</t>
    <phoneticPr fontId="6"/>
  </si>
  <si>
    <t>シャツ（七分袖）　EP-7348</t>
    <phoneticPr fontId="6"/>
  </si>
  <si>
    <t>DN-6856</t>
    <phoneticPr fontId="6"/>
  </si>
  <si>
    <t>MB-27</t>
    <phoneticPr fontId="6"/>
  </si>
  <si>
    <t>MB-27</t>
    <phoneticPr fontId="6"/>
  </si>
  <si>
    <t>ケーシー【レディース】</t>
    <phoneticPr fontId="6"/>
  </si>
  <si>
    <t>T-5818</t>
    <phoneticPr fontId="6"/>
  </si>
  <si>
    <t>T-5818</t>
    <phoneticPr fontId="6"/>
  </si>
  <si>
    <t>エプロン　T-5818</t>
    <phoneticPr fontId="6"/>
  </si>
  <si>
    <t>T-7349</t>
    <phoneticPr fontId="6"/>
  </si>
  <si>
    <t>T-7349</t>
    <phoneticPr fontId="6"/>
  </si>
  <si>
    <t>胸当てエプロン</t>
    <phoneticPr fontId="6"/>
  </si>
  <si>
    <t>AS-7106</t>
    <phoneticPr fontId="6"/>
  </si>
  <si>
    <t>コックシャツ（七分袖）【男女兼用】</t>
    <phoneticPr fontId="6"/>
  </si>
  <si>
    <t>UZT20</t>
    <phoneticPr fontId="6"/>
  </si>
  <si>
    <t>UZT20</t>
    <phoneticPr fontId="6"/>
  </si>
  <si>
    <t>Tシャツ　UZT205　【男女兼用】</t>
    <phoneticPr fontId="6"/>
  </si>
  <si>
    <t>UZT257</t>
    <phoneticPr fontId="6"/>
  </si>
  <si>
    <t>ボックスジャケット　UZT257　【男女兼用】</t>
    <phoneticPr fontId="6"/>
  </si>
  <si>
    <t>AS-7411</t>
    <phoneticPr fontId="6"/>
  </si>
  <si>
    <t>AS-7411</t>
    <phoneticPr fontId="6"/>
  </si>
  <si>
    <t>帆前掛け　AS-7411</t>
    <phoneticPr fontId="6"/>
  </si>
  <si>
    <t>MS3108</t>
    <phoneticPr fontId="6"/>
  </si>
  <si>
    <t>MS3108</t>
    <phoneticPr fontId="6"/>
  </si>
  <si>
    <t>イベントポロシャツ</t>
    <phoneticPr fontId="6"/>
  </si>
  <si>
    <t>T-7365</t>
    <phoneticPr fontId="6"/>
  </si>
  <si>
    <t>ショートエプロン T-7365</t>
    <phoneticPr fontId="6"/>
  </si>
  <si>
    <t>T-7365</t>
    <phoneticPr fontId="6"/>
  </si>
  <si>
    <t>UZT455</t>
    <phoneticPr fontId="6"/>
  </si>
  <si>
    <t>ジャケットUZT455　【男女兼用】</t>
    <phoneticPr fontId="6"/>
  </si>
  <si>
    <t>長袖ポロシャツ　0080</t>
    <phoneticPr fontId="6"/>
  </si>
  <si>
    <t>5050-01</t>
    <phoneticPr fontId="6"/>
  </si>
  <si>
    <t>5050-01</t>
    <phoneticPr fontId="6"/>
  </si>
  <si>
    <t>5.3oz ドライCVCポロシャツ</t>
    <phoneticPr fontId="6"/>
  </si>
  <si>
    <t>MB-1024</t>
    <phoneticPr fontId="6"/>
  </si>
  <si>
    <t>チュニックコート【男女兼用】MB-1024</t>
    <phoneticPr fontId="6"/>
  </si>
  <si>
    <t>00328-LADP</t>
    <phoneticPr fontId="6"/>
  </si>
  <si>
    <t>ライトドライポロシャツ</t>
    <phoneticPr fontId="6"/>
  </si>
  <si>
    <t>00329-LANT</t>
    <phoneticPr fontId="6"/>
  </si>
  <si>
    <t>ライトドライノースリーブ</t>
    <phoneticPr fontId="6"/>
  </si>
  <si>
    <t>5051-01</t>
    <phoneticPr fontId="6"/>
  </si>
  <si>
    <t>5051-01</t>
    <phoneticPr fontId="6"/>
  </si>
  <si>
    <t>5.3ozドライCVCボタンダウンポロシャツ（ポケット付）</t>
    <phoneticPr fontId="6"/>
  </si>
  <si>
    <t>DN-6855</t>
    <phoneticPr fontId="6"/>
  </si>
  <si>
    <t>DN-6855</t>
    <phoneticPr fontId="6"/>
  </si>
  <si>
    <t>ジンベイ（七分袖）【男女兼用】DN-6855</t>
    <phoneticPr fontId="6"/>
  </si>
  <si>
    <t>クルーネックライトトレーナー裏毛</t>
    <phoneticPr fontId="6"/>
  </si>
  <si>
    <t>MS3107</t>
    <phoneticPr fontId="6"/>
  </si>
  <si>
    <t>ドライポロシャツ　MS3107</t>
    <phoneticPr fontId="6"/>
  </si>
  <si>
    <t>00330-AVP</t>
    <phoneticPr fontId="6"/>
  </si>
  <si>
    <t>ドライポロシャツ（ポケット付き）</t>
    <phoneticPr fontId="6"/>
  </si>
  <si>
    <t>00331-ABP</t>
    <phoneticPr fontId="6"/>
  </si>
  <si>
    <t>00331-ABP</t>
    <phoneticPr fontId="6"/>
  </si>
  <si>
    <t>ドライボタンダウンポロシャツ</t>
    <phoneticPr fontId="6"/>
  </si>
  <si>
    <t>00332-JSJ</t>
    <phoneticPr fontId="6"/>
  </si>
  <si>
    <t>ジャージジャケット</t>
    <phoneticPr fontId="6"/>
  </si>
  <si>
    <t>00333-JSP</t>
    <phoneticPr fontId="6"/>
  </si>
  <si>
    <t>00333-JSP</t>
    <phoneticPr fontId="6"/>
  </si>
  <si>
    <t>ジャージパンツ</t>
    <phoneticPr fontId="6"/>
  </si>
  <si>
    <t>00334-JSH</t>
    <phoneticPr fontId="6"/>
  </si>
  <si>
    <t>ジャージハーフパンツ</t>
    <phoneticPr fontId="6"/>
  </si>
  <si>
    <t>00326-NBS</t>
    <phoneticPr fontId="6"/>
  </si>
  <si>
    <t>00326-NBS</t>
    <phoneticPr fontId="6"/>
  </si>
  <si>
    <t>ナンバー入りビブス10枚セット</t>
    <phoneticPr fontId="6"/>
  </si>
  <si>
    <t>00260-ETB</t>
    <phoneticPr fontId="6"/>
  </si>
  <si>
    <t>エコツイルブルゾン</t>
    <phoneticPr fontId="6"/>
  </si>
  <si>
    <t>00760-ENB</t>
    <phoneticPr fontId="6"/>
  </si>
  <si>
    <t>ナチュラルコットンバッグ</t>
    <phoneticPr fontId="6"/>
  </si>
  <si>
    <t>00231-FJ</t>
    <phoneticPr fontId="6"/>
  </si>
  <si>
    <t>00231-FJ</t>
    <phoneticPr fontId="6"/>
  </si>
  <si>
    <t>フリースジャケット</t>
    <phoneticPr fontId="6"/>
  </si>
  <si>
    <t>00230-ABC</t>
    <phoneticPr fontId="6"/>
  </si>
  <si>
    <t>00230-ABC</t>
    <phoneticPr fontId="6"/>
  </si>
  <si>
    <t>アクティブベンチコート</t>
    <phoneticPr fontId="6"/>
  </si>
  <si>
    <t>00537-FTC</t>
    <phoneticPr fontId="6"/>
  </si>
  <si>
    <t>00519-HT</t>
    <phoneticPr fontId="6"/>
  </si>
  <si>
    <t>Printstarフェイスタオル</t>
    <phoneticPr fontId="6"/>
  </si>
  <si>
    <t>Printstar　カラーフェイスタオル</t>
    <phoneticPr fontId="6"/>
  </si>
  <si>
    <t>Printstar　ハンドタオル</t>
    <phoneticPr fontId="6"/>
  </si>
  <si>
    <t>00524-MT</t>
    <phoneticPr fontId="6"/>
  </si>
  <si>
    <t>Printstar　マフラータオル</t>
    <phoneticPr fontId="6"/>
  </si>
  <si>
    <t>00526-ST</t>
    <phoneticPr fontId="6"/>
  </si>
  <si>
    <t>Printstar　スポーツタオル</t>
    <phoneticPr fontId="6"/>
  </si>
  <si>
    <t>00528-BT</t>
    <phoneticPr fontId="6"/>
  </si>
  <si>
    <t>Printstar　バスタオル</t>
    <phoneticPr fontId="6"/>
  </si>
  <si>
    <t>00132-WRR</t>
    <phoneticPr fontId="6"/>
  </si>
  <si>
    <t>リブ・ラグラン長袖Tシャツ</t>
    <rPh sb="7" eb="9">
      <t>ナガソデ</t>
    </rPh>
    <phoneticPr fontId="6"/>
  </si>
  <si>
    <t>中国製スタンダード Tシャツ</t>
    <rPh sb="0" eb="2">
      <t>チュウゴク</t>
    </rPh>
    <rPh sb="2" eb="3">
      <t>セイ</t>
    </rPh>
    <phoneticPr fontId="6"/>
  </si>
  <si>
    <t>00144-PMT</t>
    <phoneticPr fontId="6"/>
  </si>
  <si>
    <t>ポリエステルメッシュTシャツ</t>
    <phoneticPr fontId="6"/>
  </si>
  <si>
    <t>00155-EPQ</t>
    <phoneticPr fontId="6"/>
  </si>
  <si>
    <t>00135-WCT</t>
    <phoneticPr fontId="6"/>
  </si>
  <si>
    <t>ユーススウェット</t>
    <phoneticPr fontId="6"/>
  </si>
  <si>
    <t>00136-WCH</t>
    <phoneticPr fontId="6"/>
  </si>
  <si>
    <t>ユースパーカー</t>
    <phoneticPr fontId="6"/>
  </si>
  <si>
    <t>トレーニングパンツ</t>
    <phoneticPr fontId="6"/>
  </si>
  <si>
    <t>MSL5005</t>
    <phoneticPr fontId="6"/>
  </si>
  <si>
    <t>maximum レディースＴシャツ</t>
    <phoneticPr fontId="6"/>
  </si>
  <si>
    <t>レディースクルーネックTシャツ</t>
    <phoneticPr fontId="6"/>
  </si>
  <si>
    <t>FB502U</t>
  </si>
  <si>
    <t>FB502U</t>
    <phoneticPr fontId="6"/>
  </si>
  <si>
    <t>MK7102</t>
  </si>
  <si>
    <t>MK7102</t>
    <phoneticPr fontId="6"/>
  </si>
  <si>
    <t>アロハシャツ FB502U</t>
    <phoneticPr fontId="6"/>
  </si>
  <si>
    <t>ビブス　MK7102</t>
    <phoneticPr fontId="6"/>
  </si>
  <si>
    <t>JB-3014</t>
  </si>
  <si>
    <t>JB-3004</t>
  </si>
  <si>
    <r>
      <t>長袖ドビーシャツ</t>
    </r>
    <r>
      <rPr>
        <sz val="8"/>
        <color indexed="8"/>
        <rFont val="ＭＳ Ｐゴシック"/>
        <family val="3"/>
        <charset val="128"/>
      </rPr>
      <t>（ＭＥＮ’Ｓ　＆　ＬＡＤＩＥＳ’）</t>
    </r>
    <rPh sb="0" eb="2">
      <t>ナガソデ</t>
    </rPh>
    <phoneticPr fontId="5"/>
  </si>
  <si>
    <t>GU-5601</t>
  </si>
  <si>
    <r>
      <t>半袖ドビーシャツ</t>
    </r>
    <r>
      <rPr>
        <sz val="8"/>
        <color indexed="8"/>
        <rFont val="ＭＳ Ｐゴシック"/>
        <family val="3"/>
        <charset val="128"/>
      </rPr>
      <t>（ＭＥＮ’Ｓ　＆　ＬＡＤＩＥＳ’）</t>
    </r>
    <rPh sb="0" eb="2">
      <t>ハンソデ</t>
    </rPh>
    <phoneticPr fontId="5"/>
  </si>
  <si>
    <t>GU-5600</t>
  </si>
  <si>
    <r>
      <t>長袖ロイヤルオックスフォードシャツ</t>
    </r>
    <r>
      <rPr>
        <sz val="8"/>
        <color indexed="8"/>
        <rFont val="ＭＳ Ｐゴシック"/>
        <family val="3"/>
        <charset val="128"/>
      </rPr>
      <t>（ＭＥＮ’Ｓ　＆　ＬＡＤＩＥＳ’）</t>
    </r>
    <rPh sb="0" eb="2">
      <t>ナガソデ</t>
    </rPh>
    <phoneticPr fontId="5"/>
  </si>
  <si>
    <t>GU-5501</t>
  </si>
  <si>
    <r>
      <t>半袖ロイヤルオックスフォードシャツ</t>
    </r>
    <r>
      <rPr>
        <sz val="8"/>
        <color indexed="8"/>
        <rFont val="ＭＳ Ｐゴシック"/>
        <family val="3"/>
        <charset val="128"/>
      </rPr>
      <t>（ＭＥＮ’Ｓ　＆　ＬＡＤＩＥＳ’）</t>
    </r>
    <rPh sb="0" eb="2">
      <t>ハンソデ</t>
    </rPh>
    <phoneticPr fontId="5"/>
  </si>
  <si>
    <t>GU-5500</t>
  </si>
  <si>
    <t>CL-777</t>
  </si>
  <si>
    <t>半袖ポロシャツ（ポケット付き）</t>
    <rPh sb="0" eb="2">
      <t>ハンソデ</t>
    </rPh>
    <rPh sb="12" eb="13">
      <t>ツ</t>
    </rPh>
    <phoneticPr fontId="5"/>
  </si>
  <si>
    <t>CL-555</t>
  </si>
  <si>
    <t>長袖ポロシャツ（ポケット付き）</t>
    <rPh sb="0" eb="2">
      <t>ナガソデ</t>
    </rPh>
    <rPh sb="12" eb="13">
      <t>ツ</t>
    </rPh>
    <phoneticPr fontId="5"/>
  </si>
  <si>
    <t>CL-333</t>
  </si>
  <si>
    <r>
      <t>クイックドライジップ（半袖）</t>
    </r>
    <r>
      <rPr>
        <sz val="8"/>
        <color indexed="8"/>
        <rFont val="ＭＳ Ｐゴシック"/>
        <family val="3"/>
        <charset val="128"/>
      </rPr>
      <t>（ＭＥＮ’Ｓ　＆　ＬＡＤＩＥＳ’）</t>
    </r>
    <rPh sb="11" eb="13">
      <t>ハンソデ</t>
    </rPh>
    <phoneticPr fontId="5"/>
  </si>
  <si>
    <t>CL-3000</t>
  </si>
  <si>
    <t>半袖ポロシャツ（ポケット無し）</t>
    <rPh sb="0" eb="2">
      <t>ハンソデ</t>
    </rPh>
    <rPh sb="12" eb="13">
      <t>ナシ</t>
    </rPh>
    <phoneticPr fontId="5"/>
  </si>
  <si>
    <t>CL-222</t>
  </si>
  <si>
    <t>Ｔシャツ（半袖）</t>
    <rPh sb="5" eb="7">
      <t>ハンソデ</t>
    </rPh>
    <phoneticPr fontId="5"/>
  </si>
  <si>
    <t>CL-111</t>
  </si>
  <si>
    <r>
      <t>B.Dニットシャツ（半袖）</t>
    </r>
    <r>
      <rPr>
        <sz val="8"/>
        <color indexed="8"/>
        <rFont val="ＭＳ Ｐゴシック"/>
        <family val="3"/>
        <charset val="128"/>
      </rPr>
      <t>（ＭＥＮ’Ｓ　＆　ＬＡＤＩＥＳ’）</t>
    </r>
    <rPh sb="10" eb="12">
      <t>ハンソデ</t>
    </rPh>
    <phoneticPr fontId="5"/>
  </si>
  <si>
    <r>
      <t>B.Dニットシャツ（長袖）</t>
    </r>
    <r>
      <rPr>
        <sz val="8"/>
        <color indexed="8"/>
        <rFont val="ＭＳ Ｐゴシック"/>
        <family val="3"/>
        <charset val="128"/>
      </rPr>
      <t>（ＭＥＮ’Ｓ　＆　ＬＡＤＩＥＳ’）</t>
    </r>
    <rPh sb="10" eb="12">
      <t>ナガソデ</t>
    </rPh>
    <phoneticPr fontId="5"/>
  </si>
  <si>
    <t>B.Dニットシャツ（半袖）</t>
    <rPh sb="10" eb="12">
      <t>ハンソデ</t>
    </rPh>
    <phoneticPr fontId="5"/>
  </si>
  <si>
    <t>5.6オンスＰ.Ｆ.ＤＴシャツ</t>
  </si>
  <si>
    <t>5001-072</t>
  </si>
  <si>
    <t>7.0オンスジャージロングパンツ</t>
    <phoneticPr fontId="11"/>
  </si>
  <si>
    <t>1795-01</t>
  </si>
  <si>
    <t>8.3オンス　フリース　ボンディング　プルオーバー　スナップ　パーカ</t>
    <phoneticPr fontId="11"/>
  </si>
  <si>
    <t>1583-01</t>
  </si>
  <si>
    <t>8.3オンス　フリース　ボンディング　フルジップ　スタンド　ジャケット</t>
    <phoneticPr fontId="11"/>
  </si>
  <si>
    <t>1582-01</t>
  </si>
  <si>
    <t>8.3オンス　フリース　ボンディング　フルジップ　パーカ</t>
    <phoneticPr fontId="11"/>
  </si>
  <si>
    <t>1581-01</t>
  </si>
  <si>
    <t>9.0オンス　トライブレンド　スウェット　パンツ　</t>
    <phoneticPr fontId="11"/>
  </si>
  <si>
    <t>1255-01</t>
  </si>
  <si>
    <t>9.0オンス　トライブレンド　クルーネック　スウェット　</t>
    <phoneticPr fontId="11"/>
  </si>
  <si>
    <t>1254-01</t>
  </si>
  <si>
    <t>9.0オンス　トライブレンド　スウェット　プルジップパーカー</t>
    <phoneticPr fontId="11"/>
  </si>
  <si>
    <t>1252-01</t>
  </si>
  <si>
    <t>4.1オンス　ラグラン　3/4スリーブ　Ｔシャツ</t>
    <phoneticPr fontId="11"/>
  </si>
  <si>
    <t>1244-04</t>
  </si>
  <si>
    <t>4.1オンス　　タンクトップ</t>
    <phoneticPr fontId="11"/>
  </si>
  <si>
    <t>1058-04</t>
  </si>
  <si>
    <t>4.1オンス　ショートレングス　ドルマンスリーブ　Ｔシャツ</t>
    <phoneticPr fontId="11"/>
  </si>
  <si>
    <t>1057-04</t>
  </si>
  <si>
    <t>4.4オンス　トライブレンド　ジップ　パーカー（ＵＶ　ＣＵＴ）</t>
    <phoneticPr fontId="11"/>
  </si>
  <si>
    <t>1049-04</t>
  </si>
  <si>
    <t>4.1オンス　Aライン　Ｔシャツ</t>
    <phoneticPr fontId="11"/>
  </si>
  <si>
    <t>1037-04</t>
  </si>
  <si>
    <t>4.1オンス　Aライン　チュニック　</t>
    <phoneticPr fontId="11"/>
  </si>
  <si>
    <t>1036-04</t>
  </si>
  <si>
    <t>3.8オンス　ボーダー　Ｔシャツ　（1.7cm×1cm）　</t>
    <phoneticPr fontId="11"/>
  </si>
  <si>
    <t>1034-04</t>
  </si>
  <si>
    <t>3.8オンス　チュニック　タンクトップ</t>
    <phoneticPr fontId="11"/>
  </si>
  <si>
    <t>1026-04</t>
  </si>
  <si>
    <t>1013-04</t>
  </si>
  <si>
    <t>CAB</t>
    <phoneticPr fontId="11"/>
  </si>
  <si>
    <t>バスタオル</t>
    <phoneticPr fontId="11"/>
  </si>
  <si>
    <t>9713-01</t>
  </si>
  <si>
    <t>スポーツタオル</t>
    <phoneticPr fontId="11"/>
  </si>
  <si>
    <t>9712-01</t>
  </si>
  <si>
    <t>マフラータオル</t>
    <phoneticPr fontId="11"/>
  </si>
  <si>
    <t>9711-01</t>
  </si>
  <si>
    <t>フェイスタオル</t>
    <phoneticPr fontId="11"/>
  </si>
  <si>
    <t>9710-01</t>
  </si>
  <si>
    <t>5891-02</t>
  </si>
  <si>
    <t>4.1オンス　ドライ　Ｖネック　Ｔシャツ</t>
    <phoneticPr fontId="11"/>
  </si>
  <si>
    <t>5782-01</t>
  </si>
  <si>
    <t>12.0オンス　スウェット　スタジアム　ジップジャケット</t>
    <phoneticPr fontId="11"/>
  </si>
  <si>
    <t>5515-01</t>
  </si>
  <si>
    <t>12.0オンス　スウェット　スタジアム　ジャケット</t>
    <phoneticPr fontId="11"/>
  </si>
  <si>
    <t>5514-01</t>
  </si>
  <si>
    <t>12.0オンス　スウェット　スタジアム　ジャケット（フード付）</t>
    <rPh sb="29" eb="30">
      <t>ツ</t>
    </rPh>
    <phoneticPr fontId="11"/>
  </si>
  <si>
    <t>5513-01</t>
  </si>
  <si>
    <t>5.3オンス　ポロシャツ</t>
    <phoneticPr fontId="11"/>
  </si>
  <si>
    <t>5504-01</t>
  </si>
  <si>
    <t>5.0オンス　3/4スリーブＴシャツ（セットイン）</t>
    <phoneticPr fontId="11"/>
  </si>
  <si>
    <t>5478-01</t>
  </si>
  <si>
    <t>OT01</t>
    <phoneticPr fontId="6"/>
  </si>
  <si>
    <t>オリジナルトランプ</t>
    <phoneticPr fontId="6"/>
  </si>
  <si>
    <t>ネームインポエム　お1人用</t>
    <phoneticPr fontId="6"/>
  </si>
  <si>
    <t>NP01</t>
    <phoneticPr fontId="6"/>
  </si>
  <si>
    <t>NP02</t>
    <phoneticPr fontId="6"/>
  </si>
  <si>
    <t>ネームインポエム　お2人用</t>
    <phoneticPr fontId="6"/>
  </si>
  <si>
    <t>AE03</t>
    <phoneticPr fontId="6"/>
  </si>
  <si>
    <t>依頼内容</t>
    <rPh sb="0" eb="2">
      <t>イライ</t>
    </rPh>
    <rPh sb="2" eb="4">
      <t>ナイヨウ</t>
    </rPh>
    <phoneticPr fontId="11"/>
  </si>
  <si>
    <t>FAX送信日</t>
    <rPh sb="3" eb="5">
      <t>ソウシン</t>
    </rPh>
    <rPh sb="5" eb="6">
      <t>ビ</t>
    </rPh>
    <phoneticPr fontId="11"/>
  </si>
  <si>
    <t>社名</t>
    <rPh sb="0" eb="2">
      <t>シャメイ</t>
    </rPh>
    <phoneticPr fontId="11"/>
  </si>
  <si>
    <t>担当者</t>
    <rPh sb="0" eb="3">
      <t>タントウシャ</t>
    </rPh>
    <phoneticPr fontId="11"/>
  </si>
  <si>
    <t>発注</t>
    <rPh sb="0" eb="2">
      <t>ハッチュウ</t>
    </rPh>
    <phoneticPr fontId="11"/>
  </si>
  <si>
    <t>キープNo.</t>
    <phoneticPr fontId="11"/>
  </si>
  <si>
    <t>受注No.</t>
    <rPh sb="0" eb="2">
      <t>ジュチュウ</t>
    </rPh>
    <phoneticPr fontId="11"/>
  </si>
  <si>
    <t>キープ</t>
    <phoneticPr fontId="11"/>
  </si>
  <si>
    <r>
      <t>≪追加内容記入欄≫</t>
    </r>
    <r>
      <rPr>
        <sz val="10"/>
        <rFont val="HG丸ｺﾞｼｯｸM-PRO"/>
        <family val="3"/>
        <charset val="128"/>
      </rPr>
      <t>　（変更／追加などがあった場合や、伝達事項を記述）</t>
    </r>
    <rPh sb="26" eb="28">
      <t>デンタツ</t>
    </rPh>
    <rPh sb="28" eb="30">
      <t>ジコウ</t>
    </rPh>
    <phoneticPr fontId="11"/>
  </si>
  <si>
    <t>キープ延長</t>
    <rPh sb="3" eb="5">
      <t>エンチョウ</t>
    </rPh>
    <phoneticPr fontId="11"/>
  </si>
  <si>
    <t>キャンセル</t>
    <phoneticPr fontId="11"/>
  </si>
  <si>
    <t>キープ解除日</t>
    <rPh sb="3" eb="5">
      <t>カイジョ</t>
    </rPh>
    <rPh sb="5" eb="6">
      <t>ビ</t>
    </rPh>
    <phoneticPr fontId="11"/>
  </si>
  <si>
    <t xml:space="preserve"> □ 取り揃い次第、まとめて発送して下さい→　発送予定日お知らせ下さい</t>
    <phoneticPr fontId="11"/>
  </si>
  <si>
    <t>①納入先</t>
    <rPh sb="1" eb="4">
      <t>ノウニュウサキ</t>
    </rPh>
    <phoneticPr fontId="11"/>
  </si>
  <si>
    <t xml:space="preserve"> □未定（以下どちらか、決定後に再FAXしますので、キープのみお願いします）</t>
    <rPh sb="2" eb="4">
      <t>ミテイ</t>
    </rPh>
    <rPh sb="5" eb="7">
      <t>イカ</t>
    </rPh>
    <phoneticPr fontId="11"/>
  </si>
  <si>
    <t xml:space="preserve"> □弊社　㈱プラスワンインターナショナル</t>
    <rPh sb="2" eb="4">
      <t>ヘイシャ</t>
    </rPh>
    <phoneticPr fontId="11"/>
  </si>
  <si>
    <t>〒760-0080  香川県高松市木太町5116番地20号　（087-869-8080）</t>
    <phoneticPr fontId="11"/>
  </si>
  <si>
    <t>②希望着日</t>
    <rPh sb="1" eb="3">
      <t>キボウ</t>
    </rPh>
    <rPh sb="3" eb="4">
      <t>チャク</t>
    </rPh>
    <rPh sb="4" eb="5">
      <t>ビ</t>
    </rPh>
    <phoneticPr fontId="11"/>
  </si>
  <si>
    <t>着まで(早くてもOK)</t>
    <rPh sb="0" eb="1">
      <t>チャク</t>
    </rPh>
    <rPh sb="4" eb="5">
      <t>ハヤ</t>
    </rPh>
    <phoneticPr fontId="11"/>
  </si>
  <si>
    <t xml:space="preserve"> 時間指定
 ありの場合⇒</t>
    <rPh sb="1" eb="3">
      <t>ジカン</t>
    </rPh>
    <rPh sb="3" eb="5">
      <t>シテイ</t>
    </rPh>
    <phoneticPr fontId="11"/>
  </si>
  <si>
    <t>必着指定</t>
    <rPh sb="0" eb="2">
      <t>ヒッチャク</t>
    </rPh>
    <rPh sb="2" eb="4">
      <t>シテイ</t>
    </rPh>
    <phoneticPr fontId="11"/>
  </si>
  <si>
    <t xml:space="preserve"> ※到着希望日（時間）の指定が難しい場合は、大変お手数ですが、担当者までご連絡下さい。</t>
    <rPh sb="2" eb="4">
      <t>トウチャク</t>
    </rPh>
    <rPh sb="4" eb="6">
      <t>キボウ</t>
    </rPh>
    <rPh sb="6" eb="7">
      <t>ビ</t>
    </rPh>
    <rPh sb="8" eb="10">
      <t>ジカン</t>
    </rPh>
    <rPh sb="12" eb="14">
      <t>シテイ</t>
    </rPh>
    <rPh sb="15" eb="16">
      <t>ムズカ</t>
    </rPh>
    <rPh sb="18" eb="20">
      <t>バアイ</t>
    </rPh>
    <rPh sb="22" eb="24">
      <t>タイヘン</t>
    </rPh>
    <rPh sb="25" eb="27">
      <t>テスウ</t>
    </rPh>
    <rPh sb="31" eb="34">
      <t>タントウシャ</t>
    </rPh>
    <rPh sb="37" eb="39">
      <t>レンラク</t>
    </rPh>
    <rPh sb="39" eb="40">
      <t>クダ</t>
    </rPh>
    <phoneticPr fontId="11"/>
  </si>
  <si>
    <r>
      <t xml:space="preserve">③発送伝票
</t>
    </r>
    <r>
      <rPr>
        <sz val="11"/>
        <rFont val="HG丸ｺﾞｼｯｸM-PRO"/>
        <family val="3"/>
        <charset val="128"/>
      </rPr>
      <t>（備考欄記入）</t>
    </r>
    <rPh sb="1" eb="3">
      <t>ハッソウ</t>
    </rPh>
    <rPh sb="3" eb="5">
      <t>デンピョウ</t>
    </rPh>
    <rPh sb="7" eb="9">
      <t>ビコウ</t>
    </rPh>
    <rPh sb="9" eb="10">
      <t>ラン</t>
    </rPh>
    <rPh sb="10" eb="12">
      <t>キニュウ</t>
    </rPh>
    <phoneticPr fontId="11"/>
  </si>
  <si>
    <t>様 無地ご注文分</t>
    <rPh sb="0" eb="1">
      <t>サマ</t>
    </rPh>
    <rPh sb="2" eb="4">
      <t>ムジ</t>
    </rPh>
    <rPh sb="5" eb="7">
      <t>チュウモン</t>
    </rPh>
    <rPh sb="7" eb="8">
      <t>ブン</t>
    </rPh>
    <phoneticPr fontId="11"/>
  </si>
  <si>
    <t>プラスワン</t>
    <phoneticPr fontId="11"/>
  </si>
  <si>
    <t>物件</t>
    <rPh sb="0" eb="2">
      <t>ブッケン</t>
    </rPh>
    <phoneticPr fontId="11"/>
  </si>
  <si>
    <t>商品コード</t>
    <rPh sb="0" eb="2">
      <t>ショウヒン</t>
    </rPh>
    <phoneticPr fontId="11"/>
  </si>
  <si>
    <t>プラスワン
使用欄</t>
    <rPh sb="6" eb="8">
      <t>シヨウ</t>
    </rPh>
    <rPh sb="8" eb="9">
      <t>ラン</t>
    </rPh>
    <phoneticPr fontId="11"/>
  </si>
  <si>
    <t>□同送物有り</t>
    <rPh sb="1" eb="2">
      <t>ドウ</t>
    </rPh>
    <rPh sb="2" eb="3">
      <t>オク</t>
    </rPh>
    <rPh sb="3" eb="4">
      <t>ブツ</t>
    </rPh>
    <rPh sb="4" eb="5">
      <t>アリ</t>
    </rPh>
    <phoneticPr fontId="11"/>
  </si>
  <si>
    <t>㈱プラスワンインターナショナル
（FAX：087-8６6-8288）</t>
    <phoneticPr fontId="11"/>
  </si>
  <si>
    <t>数</t>
    <rPh sb="0" eb="1">
      <t>カズ</t>
    </rPh>
    <phoneticPr fontId="6"/>
  </si>
  <si>
    <t>カラー/サイズ</t>
    <phoneticPr fontId="11"/>
  </si>
  <si>
    <t>商品名</t>
    <rPh sb="0" eb="3">
      <t>ショウヒンメイ</t>
    </rPh>
    <phoneticPr fontId="6"/>
  </si>
  <si>
    <t>メーカー名</t>
    <rPh sb="4" eb="5">
      <t>メイ</t>
    </rPh>
    <phoneticPr fontId="6"/>
  </si>
  <si>
    <t>担当者</t>
    <rPh sb="0" eb="3">
      <t>タントウシャ</t>
    </rPh>
    <phoneticPr fontId="6"/>
  </si>
  <si>
    <t>メーカー備考</t>
    <rPh sb="4" eb="6">
      <t>ビコウ</t>
    </rPh>
    <phoneticPr fontId="6"/>
  </si>
  <si>
    <t>正式メーカー名</t>
    <rPh sb="0" eb="2">
      <t>セイシキ</t>
    </rPh>
    <rPh sb="6" eb="7">
      <t>メイ</t>
    </rPh>
    <phoneticPr fontId="6"/>
  </si>
  <si>
    <t>加工場名</t>
    <rPh sb="0" eb="2">
      <t>カコウ</t>
    </rPh>
    <rPh sb="2" eb="3">
      <t>バ</t>
    </rPh>
    <rPh sb="3" eb="4">
      <t>メイ</t>
    </rPh>
    <phoneticPr fontId="6"/>
  </si>
  <si>
    <t>加工場住所</t>
    <rPh sb="0" eb="2">
      <t>カコウ</t>
    </rPh>
    <rPh sb="2" eb="3">
      <t>バ</t>
    </rPh>
    <rPh sb="3" eb="5">
      <t>ジュウショ</t>
    </rPh>
    <phoneticPr fontId="6"/>
  </si>
  <si>
    <t>加工場電話</t>
    <rPh sb="0" eb="2">
      <t>カコウ</t>
    </rPh>
    <rPh sb="2" eb="3">
      <t>バ</t>
    </rPh>
    <rPh sb="3" eb="5">
      <t>デンワ</t>
    </rPh>
    <phoneticPr fontId="6"/>
  </si>
  <si>
    <t>柄名</t>
    <rPh sb="0" eb="1">
      <t>ガラ</t>
    </rPh>
    <rPh sb="1" eb="2">
      <t>メイ</t>
    </rPh>
    <phoneticPr fontId="6"/>
  </si>
  <si>
    <t>16項目にデータ</t>
    <rPh sb="2" eb="4">
      <t>コウモク</t>
    </rPh>
    <phoneticPr fontId="6"/>
  </si>
  <si>
    <t>無1／有2</t>
    <rPh sb="0" eb="1">
      <t>ナ</t>
    </rPh>
    <rPh sb="3" eb="4">
      <t>アリ</t>
    </rPh>
    <phoneticPr fontId="6"/>
  </si>
  <si>
    <r>
      <t>御中： FAXオーダーシート（無地専用）</t>
    </r>
    <r>
      <rPr>
        <b/>
        <sz val="22"/>
        <rFont val="HG丸ｺﾞｼｯｸM-PRO"/>
        <family val="3"/>
        <charset val="128"/>
      </rPr>
      <t>】</t>
    </r>
    <rPh sb="15" eb="17">
      <t>ムジ</t>
    </rPh>
    <rPh sb="17" eb="19">
      <t>センヨウ</t>
    </rPh>
    <phoneticPr fontId="11"/>
  </si>
  <si>
    <r>
      <t>御中： FAXオーダーシート（発注）</t>
    </r>
    <r>
      <rPr>
        <b/>
        <sz val="22"/>
        <rFont val="HG丸ｺﾞｼｯｸM-PRO"/>
        <family val="3"/>
        <charset val="128"/>
      </rPr>
      <t>】</t>
    </r>
    <rPh sb="15" eb="17">
      <t>ハッチュウ</t>
    </rPh>
    <phoneticPr fontId="11"/>
  </si>
  <si>
    <t>～</t>
    <phoneticPr fontId="6"/>
  </si>
  <si>
    <t>柄名：</t>
    <rPh sb="0" eb="1">
      <t>ガラ</t>
    </rPh>
    <rPh sb="1" eb="2">
      <t>メイ</t>
    </rPh>
    <phoneticPr fontId="6"/>
  </si>
  <si>
    <t>送付先</t>
    <rPh sb="0" eb="2">
      <t>ソウフ</t>
    </rPh>
    <rPh sb="2" eb="3">
      <t>サキ</t>
    </rPh>
    <phoneticPr fontId="6"/>
  </si>
  <si>
    <t>加工場直送⇒</t>
    <rPh sb="0" eb="2">
      <t>カコウ</t>
    </rPh>
    <rPh sb="2" eb="3">
      <t>バ</t>
    </rPh>
    <rPh sb="3" eb="5">
      <t>チョクソウ</t>
    </rPh>
    <phoneticPr fontId="3"/>
  </si>
  <si>
    <t>弊社まで⇒</t>
    <rPh sb="0" eb="2">
      <t>ヘイシャ</t>
    </rPh>
    <phoneticPr fontId="3"/>
  </si>
  <si>
    <t>プラスワンインターナショナル</t>
    <phoneticPr fontId="6"/>
  </si>
  <si>
    <t>プラスワンインターナショナル</t>
    <phoneticPr fontId="6"/>
  </si>
  <si>
    <t>TEL：</t>
    <phoneticPr fontId="6"/>
  </si>
  <si>
    <t>プラスワン</t>
    <phoneticPr fontId="6"/>
  </si>
  <si>
    <t>記入名</t>
    <rPh sb="0" eb="2">
      <t>キニュウ</t>
    </rPh>
    <rPh sb="2" eb="3">
      <t>メイ</t>
    </rPh>
    <phoneticPr fontId="6"/>
  </si>
  <si>
    <t>□同送物有の場合⇒</t>
    <phoneticPr fontId="6"/>
  </si>
  <si>
    <t>Ｐ1入れの場合：到着後、加工場転送⇒</t>
    <phoneticPr fontId="11"/>
  </si>
  <si>
    <t>P1加工場転送</t>
    <rPh sb="2" eb="4">
      <t>カコウ</t>
    </rPh>
    <rPh sb="4" eb="5">
      <t>バ</t>
    </rPh>
    <rPh sb="5" eb="7">
      <t>テンソウ</t>
    </rPh>
    <phoneticPr fontId="6"/>
  </si>
  <si>
    <t>21項目にデータ</t>
    <rPh sb="2" eb="4">
      <t>コウモク</t>
    </rPh>
    <phoneticPr fontId="6"/>
  </si>
  <si>
    <r>
      <rPr>
        <sz val="13.5"/>
        <rFont val="HGP創英角ｺﾞｼｯｸUB"/>
        <family val="3"/>
        <charset val="128"/>
      </rPr>
      <t xml:space="preserve">（　　　　） </t>
    </r>
    <r>
      <rPr>
        <sz val="12"/>
        <rFont val="HG丸ｺﾞｼｯｸM-PRO"/>
        <family val="3"/>
        <charset val="128"/>
      </rPr>
      <t>物件</t>
    </r>
    <rPh sb="7" eb="9">
      <t>ブッケン</t>
    </rPh>
    <phoneticPr fontId="11"/>
  </si>
  <si>
    <t>(　　　)</t>
    <phoneticPr fontId="6"/>
  </si>
  <si>
    <t>087-869-8080</t>
    <phoneticPr fontId="6"/>
  </si>
  <si>
    <t>加工法</t>
    <rPh sb="0" eb="3">
      <t>カコウホウ</t>
    </rPh>
    <phoneticPr fontId="6"/>
  </si>
  <si>
    <t>シルク</t>
    <phoneticPr fontId="6"/>
  </si>
  <si>
    <t xml:space="preserve"> □ 弊社（プラスワン）</t>
    <phoneticPr fontId="6"/>
  </si>
  <si>
    <t xml:space="preserve"> □ 未定（決定後に再FAXしますので、キープのみお願いします）</t>
    <phoneticPr fontId="6"/>
  </si>
  <si>
    <t xml:space="preserve"> □プロテックス・アパレル(株)</t>
    <phoneticPr fontId="6"/>
  </si>
  <si>
    <t xml:space="preserve"> □エースプリント(株)</t>
    <phoneticPr fontId="6"/>
  </si>
  <si>
    <t xml:space="preserve"> □(株)ゲイト</t>
    <phoneticPr fontId="6"/>
  </si>
  <si>
    <t xml:space="preserve"> □(株)モリ・フロッキー</t>
    <phoneticPr fontId="6"/>
  </si>
  <si>
    <t xml:space="preserve"> □(株)トミーズコーポレーション</t>
    <phoneticPr fontId="6"/>
  </si>
  <si>
    <t xml:space="preserve"> □(有)東伸</t>
    <rPh sb="3" eb="4">
      <t>アリ</t>
    </rPh>
    <rPh sb="5" eb="6">
      <t>アズマ</t>
    </rPh>
    <rPh sb="6" eb="7">
      <t>シン</t>
    </rPh>
    <phoneticPr fontId="3"/>
  </si>
  <si>
    <t xml:space="preserve"> □(株)テルミ・エンタープライズ</t>
    <phoneticPr fontId="6"/>
  </si>
  <si>
    <t xml:space="preserve"> □(株)尾崎スクリーン</t>
    <rPh sb="2" eb="5">
      <t>カブ</t>
    </rPh>
    <rPh sb="5" eb="7">
      <t>オザキ</t>
    </rPh>
    <phoneticPr fontId="3"/>
  </si>
  <si>
    <t xml:space="preserve"> □(株)トランスアート</t>
    <phoneticPr fontId="6"/>
  </si>
  <si>
    <t xml:space="preserve"> □(株)ジャスト</t>
    <phoneticPr fontId="6"/>
  </si>
  <si>
    <t xml:space="preserve"> 〒760-0080  香川県高松市木太町5116番地20号</t>
    <phoneticPr fontId="6"/>
  </si>
  <si>
    <t xml:space="preserve"> -</t>
    <phoneticPr fontId="6"/>
  </si>
  <si>
    <t>その他加工</t>
    <rPh sb="2" eb="3">
      <t>タ</t>
    </rPh>
    <rPh sb="3" eb="5">
      <t>カコウ</t>
    </rPh>
    <phoneticPr fontId="6"/>
  </si>
  <si>
    <t>御中： FAXオーダーシート】</t>
    <phoneticPr fontId="11"/>
  </si>
  <si>
    <t>※基本1週間キープ　※13:00までのFAX発注→当日出荷、翌日着。（土曜日は12:00まで）　　 ★顧客コード：0-6779★</t>
    <phoneticPr fontId="6"/>
  </si>
  <si>
    <t>□お客様への発送</t>
    <rPh sb="2" eb="4">
      <t>キャクサマ</t>
    </rPh>
    <rPh sb="6" eb="8">
      <t>ハッソウ</t>
    </rPh>
    <phoneticPr fontId="6"/>
  </si>
  <si>
    <t>⇒</t>
    <phoneticPr fontId="6"/>
  </si>
  <si>
    <t>着指定</t>
    <rPh sb="0" eb="1">
      <t>チャク</t>
    </rPh>
    <rPh sb="1" eb="3">
      <t>シテイ</t>
    </rPh>
    <phoneticPr fontId="6"/>
  </si>
  <si>
    <t>ALT</t>
    <phoneticPr fontId="47"/>
  </si>
  <si>
    <t>CR-2000</t>
  </si>
  <si>
    <t>長袖ダンガリーシャツ</t>
  </si>
  <si>
    <t>CR-6000</t>
  </si>
  <si>
    <t>チルデンセーター</t>
  </si>
  <si>
    <t>CR-7000</t>
  </si>
  <si>
    <t>チノエプロン</t>
  </si>
  <si>
    <t>CR-8000</t>
  </si>
  <si>
    <t>エコエプロン</t>
  </si>
  <si>
    <t>SA-3010</t>
  </si>
  <si>
    <t>メンズギンガムチェックシャツ（半袖）</t>
  </si>
  <si>
    <t>SA-3011</t>
  </si>
  <si>
    <t>メンズギンガムチェックシャツ（長袖）</t>
  </si>
  <si>
    <t>SA-4011</t>
  </si>
  <si>
    <t>レディースギンガムチェックシャツ（長袖）</t>
  </si>
  <si>
    <t>FR-9000</t>
  </si>
  <si>
    <t>キレイなエプロン（光触媒加工）</t>
  </si>
  <si>
    <t>FR-9050</t>
  </si>
  <si>
    <t>キレイなショートエプロン（光触媒加工）</t>
  </si>
  <si>
    <t>GU-2210</t>
  </si>
  <si>
    <t>半袖オックスストライプシャツ</t>
  </si>
  <si>
    <t>GU-2211</t>
  </si>
  <si>
    <t>長袖オックスストライプシャツ</t>
  </si>
  <si>
    <t>GU-2231</t>
  </si>
  <si>
    <t>長袖ポプリンチェックシャツ</t>
  </si>
  <si>
    <t>GU-2271</t>
  </si>
  <si>
    <t>長袖グランドストライプシャツ</t>
  </si>
  <si>
    <t>GU-5101</t>
  </si>
  <si>
    <t>長袖タンガリーシャツ</t>
  </si>
  <si>
    <t>GU-5201</t>
  </si>
  <si>
    <t>長袖オックスフォードシャツ</t>
  </si>
  <si>
    <t>GU-5301</t>
  </si>
  <si>
    <t>長袖BDブロードシャツ</t>
  </si>
  <si>
    <t>GU-5401</t>
  </si>
  <si>
    <t>長袖ブロードシャツ</t>
  </si>
  <si>
    <t>LH-2000</t>
  </si>
  <si>
    <t>イタリアンコックコート（衿イタリア国旗）</t>
  </si>
  <si>
    <t>anvilヘビーウェイトTシャツ</t>
  </si>
  <si>
    <t>スタンドフルジップベスト</t>
  </si>
  <si>
    <t>ナイロンスイッチングジャケット</t>
  </si>
  <si>
    <t>ナイロンデタッチャブルスタンドジャケット</t>
  </si>
  <si>
    <t>ナイロンスタジアムジャケット</t>
  </si>
  <si>
    <t>ナイロンスタンドジャケット（フードイン）（ライニング付き）</t>
  </si>
  <si>
    <t>ナイロンフルジップパーカ</t>
  </si>
  <si>
    <t>ナイロンコーチジャケット（ライニング付き）</t>
  </si>
  <si>
    <t>ポリエステルストレッチフルジップパーカ</t>
  </si>
  <si>
    <t>ポリエステルストレッチフルジップパーカー</t>
  </si>
  <si>
    <t>ハッピ</t>
  </si>
  <si>
    <t>メジャーCAP</t>
  </si>
  <si>
    <t>アメリカンメッシュキャップ</t>
  </si>
  <si>
    <t>アメリカンメッシュバイザー</t>
  </si>
  <si>
    <t>コットンキャップ</t>
  </si>
  <si>
    <t>9.1oz ラガーシャツ（半袖）</t>
  </si>
  <si>
    <t>9.1oz ラガーシャツ(長袖)</t>
  </si>
  <si>
    <t>5.3oz T/Cポロシャツ（Adult）</t>
  </si>
  <si>
    <t>5.3oz T/Cポロシャツ（Girls）</t>
  </si>
  <si>
    <t>5.3oz　ドライT/Cポロシャツ</t>
  </si>
  <si>
    <t>5.3オンスT/Cポロシャツ（withポケット）</t>
  </si>
  <si>
    <t>5.3ozT/Cロングスリーブポロシャツ</t>
  </si>
  <si>
    <t>天竺ポロシャツ（レディース）</t>
  </si>
  <si>
    <t>コットン(綿）ポロシャツ</t>
  </si>
  <si>
    <t>7.6oz ポロシャツ Adult</t>
  </si>
  <si>
    <t>7.6oz ポロシャツ　Kids</t>
  </si>
  <si>
    <t>6.2オンスラグランスリーブTシャツ</t>
  </si>
  <si>
    <t>10.3ozT/Cプルオーバーパーカー</t>
  </si>
  <si>
    <t>ラインポロシャツ</t>
  </si>
  <si>
    <t>6.2oz ラグラン3/4スリーブＴシャツ</t>
  </si>
  <si>
    <t>6.2ozラグラン3/4スリーブＴシャツ（ガールズ）</t>
  </si>
  <si>
    <t>【使用不可】6.2ozラグラン3/4スリーブTシャツ</t>
  </si>
  <si>
    <t>6.2oz3/4スリーブＴシャツ</t>
  </si>
  <si>
    <t>8.8ozT/Cスウェットフルジップパーカー</t>
  </si>
  <si>
    <t>8.8ozT/Cスウェットフルジップパーカ（キッズ）</t>
  </si>
  <si>
    <t>8.8ozT/Cスウェットプルオーバーパーカー</t>
  </si>
  <si>
    <t>8.8ozT/Cスウェットプルオーバーパーカー(キッズ)</t>
  </si>
  <si>
    <t>8.8ozT/Cクルーネックスウェット</t>
  </si>
  <si>
    <t>8.8ozT/Cクルーネックスウェット（キッズ）</t>
  </si>
  <si>
    <t>8.8oz T/Cスウェットパンツ</t>
  </si>
  <si>
    <t>8.8ozT/Cスウェットパンツ（キッズ）</t>
  </si>
  <si>
    <t>10.0oz.クルーネックスウェット（パイル）</t>
  </si>
  <si>
    <t>10.0oz.スウェットパンツ（パイル）</t>
  </si>
  <si>
    <t>4.7oz Ｔシャツ</t>
  </si>
  <si>
    <t>4.3oz 長袖Tシャツ</t>
  </si>
  <si>
    <t>13.2ozスウェットスタジアムジャケット（フード付き）</t>
  </si>
  <si>
    <t>13.2オンス スウェットスタジアムジャケット</t>
  </si>
  <si>
    <t>13.2oz.フルジップパーカー(セット　イン　スリーブ)</t>
  </si>
  <si>
    <t>13.2oz.プルオーバーパーカー(セット　イン　スリーブ)</t>
  </si>
  <si>
    <t>5.6oz ステイクールＴシャツ</t>
  </si>
  <si>
    <t>13.2oz.クルーネックスウェット</t>
  </si>
  <si>
    <t>4.3oz ドライＴシャツ(Adult)</t>
  </si>
  <si>
    <t>4.3オンスドライTシャツ（キッズ）</t>
  </si>
  <si>
    <t>4.3オンズドライTシャツ（ガールズ）</t>
  </si>
  <si>
    <t>4.3ozドライラグランスリーブTシャツ</t>
  </si>
  <si>
    <t>4.4oz Ｔシャツ</t>
  </si>
  <si>
    <t>4.4オンスTシャツ（Girls）</t>
  </si>
  <si>
    <t>4.3oz ドライポロシャツ</t>
  </si>
  <si>
    <t>4.3oz ドライ　Ｖネックノンスリーブ</t>
  </si>
  <si>
    <t>4.7oz ハニカムメッシュＴシャツ</t>
  </si>
  <si>
    <t>ドライVネックTシャツ</t>
  </si>
  <si>
    <t>4.3ozドライゲームシャツ</t>
  </si>
  <si>
    <t>ドライクールファストフレンチスリーブTシャツ</t>
  </si>
  <si>
    <t>4.1ozドライTシャツ</t>
  </si>
  <si>
    <t>4.3オンスクールファストワンピース</t>
  </si>
  <si>
    <t>4.3ozドライハーフジップシャツ</t>
  </si>
  <si>
    <t>4.3ozドライノースリーブ</t>
  </si>
  <si>
    <t xml:space="preserve"> 4.1ozドライポロシャツ</t>
  </si>
  <si>
    <t>6.2oz ロングスリーブＴシャツ（1.6インチ　リブ）</t>
  </si>
  <si>
    <t>6.2oz ロングスリーブＴシャツ</t>
  </si>
  <si>
    <t>6.2オンス ロングスリーブTシャツ(ガールズ)</t>
  </si>
  <si>
    <t>10.3oz.クルーネックスウェット</t>
  </si>
  <si>
    <t>6.2oz Ｔシャツ Adult</t>
  </si>
  <si>
    <t>6.2oz Ｔシャツ　Kids</t>
  </si>
  <si>
    <t>6.2oz Ｔシャツ　Girls</t>
  </si>
  <si>
    <t>クールナイスカモフラージュTシャツ</t>
  </si>
  <si>
    <t>ナイロンスタッフジャケット</t>
  </si>
  <si>
    <t>コーチジャケット</t>
  </si>
  <si>
    <t>ナイロンスタンドジャケット</t>
  </si>
  <si>
    <t>ナイロン　スタンドジャケット</t>
  </si>
  <si>
    <t>スタンドカラージャンパー</t>
  </si>
  <si>
    <t>ナイロンフルジップジャケット</t>
  </si>
  <si>
    <t>7.2oz Ｔシャツ</t>
  </si>
  <si>
    <t>7.2oz ロングリーブＴシャツ</t>
  </si>
  <si>
    <t>マツリハッピ</t>
  </si>
  <si>
    <t>5.6oz Tシャツ Adult</t>
  </si>
  <si>
    <t>5.6oz Tシャツ Kids</t>
  </si>
  <si>
    <t>5.6oz　ロングスリーブTシャツ</t>
  </si>
  <si>
    <t>5.6ozロングスリーブTシャツ（ガールズ）</t>
  </si>
  <si>
    <t>10.0オンススウェトフルジップパーカー（パイル）</t>
  </si>
  <si>
    <t>10.0ozスウェットフルジップパーカ（キッズ）</t>
  </si>
  <si>
    <t>スウェットフルジップパーカー（ガールズ）</t>
  </si>
  <si>
    <t>10.0オンススウェットプルオーバーパーカ（パイル）</t>
  </si>
  <si>
    <t>10.0oz スウェットプルオーバーパーカ キッズ</t>
  </si>
  <si>
    <t>10.0oz スウェットプルオーバーパーカ</t>
  </si>
  <si>
    <t>10.0ozハイネックフルジップパーカー</t>
  </si>
  <si>
    <t>10.0ozスウェットパンツ（パイル）</t>
  </si>
  <si>
    <t>10.0ozスウェットパンツ（パイル）キッズ</t>
  </si>
  <si>
    <t>10.0ozスウェットパンツ（パイル）レディース</t>
  </si>
  <si>
    <t>10.0ozスウェットショーツ（パイル）</t>
  </si>
  <si>
    <t>4.8oz オーガニックコットンＴシャツ</t>
  </si>
  <si>
    <t>ヘンプコットンTシャツ</t>
  </si>
  <si>
    <t>4.7ozボーダーTシャツ</t>
  </si>
  <si>
    <t>10.0ozクルーネックスウェット</t>
  </si>
  <si>
    <t>10.0ozクルーネックスウェット(キッズ）</t>
  </si>
  <si>
    <t>10.0ozクルーネックスウェット(ガールズ)</t>
  </si>
  <si>
    <t xml:space="preserve">10.0ozｽｳｪｯﾄﾊｲﾈｯｸP/Oﾊﾟｰｶ   </t>
  </si>
  <si>
    <t>6.2oz ベイビービブ</t>
  </si>
  <si>
    <t>6.2oz ベイビーロンパース</t>
  </si>
  <si>
    <t>6.2oz ベイビー　ロングスリーブ　ロンパース</t>
  </si>
  <si>
    <t>6.2oz ロングスリーブロンパース</t>
  </si>
  <si>
    <t>6.2oz ロングスリーブシャツ（キッズ）</t>
  </si>
  <si>
    <t>6.2オンス天竺フルジップパーカ（キッズ）</t>
  </si>
  <si>
    <t>5.0オンスTシャツ</t>
  </si>
  <si>
    <t>5.0オンスTシャツ（キッズ）</t>
  </si>
  <si>
    <t>5.0ozTシャツ（ガールズ）</t>
  </si>
  <si>
    <t>5.0ozラグラン3/4スリーブTシャツ</t>
  </si>
  <si>
    <t>5.0ozラグラン3/4スリーブTシャツ（kids）</t>
  </si>
  <si>
    <t>3.8ozT/C Tシャツ</t>
  </si>
  <si>
    <t>5.0オンスラグランスリーブTシャツ</t>
  </si>
  <si>
    <t>5.0oz ラグランロングスリーブTシャツ</t>
  </si>
  <si>
    <t>5.0ozロングスリーブTシャツ</t>
  </si>
  <si>
    <t>5.0ozロングスリーブTシャツ（キッズ）</t>
  </si>
  <si>
    <t>6.2oz 1/2スリーブＴシャツ</t>
  </si>
  <si>
    <t>6.2oz ハーフスリーブＴシャツ（ガールズ）</t>
  </si>
  <si>
    <t>6.0ozオンスフライスTシャツ</t>
  </si>
  <si>
    <t>6.0ozフライス3/4スリーブTシャツ</t>
  </si>
  <si>
    <t>5.0oz1/2ｽﾘｰﾌﾞTｼｬﾂ</t>
  </si>
  <si>
    <t>3.8ozT/CバインダーネックTシャツ</t>
  </si>
  <si>
    <t>3.8ozT/C VネックTシャツ</t>
  </si>
  <si>
    <t>3.8ozT/C VネックTシャツ(withポケット)</t>
  </si>
  <si>
    <t>5.5オンス　カーディガン</t>
  </si>
  <si>
    <t>5.5ozプルオーバーパーカー（オープンエンドヤーン）</t>
  </si>
  <si>
    <t>5.5ozTシャツ</t>
  </si>
  <si>
    <t>5.5ozプルジップパーカー(オープンエンドヤーン)</t>
  </si>
  <si>
    <t>5.6ozワッフルロングスリーブTシャツ</t>
  </si>
  <si>
    <t>5.6ozワッフル1/2スリーブTシャツ</t>
  </si>
  <si>
    <t>ヘンリーネックロングスリーブＴシャツ</t>
  </si>
  <si>
    <t>13.2オンススウェットショールカラージャケット</t>
  </si>
  <si>
    <t>12.0オンス　スウェットプルオーバーパーカー</t>
  </si>
  <si>
    <t>12.0ozスウェットフルジップパーカー</t>
  </si>
  <si>
    <t>12.0オンスクルーネックスウェット</t>
  </si>
  <si>
    <t>1251-01</t>
  </si>
  <si>
    <t>ショートスリーブワークシャツ半袖</t>
  </si>
  <si>
    <t>1263-01</t>
  </si>
  <si>
    <t>イベントブルゾンC</t>
  </si>
  <si>
    <t>スウェットトートバッグ(裏パイル)</t>
  </si>
  <si>
    <t>1507-01</t>
  </si>
  <si>
    <t>キャンバストートバッグ</t>
  </si>
  <si>
    <t>1508-01</t>
  </si>
  <si>
    <t>キャンバストートバック（中）</t>
  </si>
  <si>
    <t>1515-01</t>
  </si>
  <si>
    <t>14.3ozキャンバスジップトートバッグ</t>
  </si>
  <si>
    <t>1542-01</t>
  </si>
  <si>
    <t>12.0ozキャンバスファットストリングバッグ</t>
  </si>
  <si>
    <t>1543-01</t>
  </si>
  <si>
    <t>14.3ozキャンバスランチバッグ</t>
  </si>
  <si>
    <t>1544-01</t>
  </si>
  <si>
    <t>バンダナ</t>
  </si>
  <si>
    <t>1576-01</t>
  </si>
  <si>
    <t>ナイロントートバッグ(インナーポケット付き)</t>
  </si>
  <si>
    <t>1577-01</t>
  </si>
  <si>
    <t>ナイロントートバッグ（ポケット付き）</t>
  </si>
  <si>
    <t>1653-01</t>
  </si>
  <si>
    <t>10.0オンス　ボートネックロングスリーブTシャツ</t>
  </si>
  <si>
    <t>1790-01</t>
  </si>
  <si>
    <t>4.7ozトリムTシャツ</t>
  </si>
  <si>
    <t>1791-01</t>
  </si>
  <si>
    <t>ショートスリーブワークSHIRT</t>
  </si>
  <si>
    <t>1792-01</t>
  </si>
  <si>
    <t>ショートスリーブミリタリーシャツ</t>
  </si>
  <si>
    <t>7.0ozジャージロングパンツ</t>
  </si>
  <si>
    <t>1796-01</t>
  </si>
  <si>
    <t>5.3ozジャージ スタンドカラージャケット</t>
  </si>
  <si>
    <t>1798-01</t>
  </si>
  <si>
    <t>5.3ozドライジャージクォーターパンツ</t>
  </si>
  <si>
    <t>1798-03</t>
  </si>
  <si>
    <t>5.3ozドライジャージクォーターパンツ(ガールズ)</t>
  </si>
  <si>
    <t>1808-01</t>
  </si>
  <si>
    <t>マルチボーダーポロシャツ</t>
  </si>
  <si>
    <t>6.2oz.タンクトップ</t>
  </si>
  <si>
    <t>1816-03</t>
  </si>
  <si>
    <t>6.2oz タンクトップ（ガールズ）</t>
  </si>
  <si>
    <t>6.2ozトリムタンクトップ</t>
  </si>
  <si>
    <t>10.3oz.フルジップパーカー(パイル)</t>
  </si>
  <si>
    <t>10.3oz.プルオーバーパーカー(パイル)</t>
  </si>
  <si>
    <t>8.9oz. フルジップパーカー（パイル）</t>
  </si>
  <si>
    <t>13.2oz.スナップジャケット</t>
  </si>
  <si>
    <t>6.2oz イージーショーツ</t>
  </si>
  <si>
    <t>ショートスリーブワークシャツ</t>
  </si>
  <si>
    <t>4.3oz ミックストリムＴシャツ</t>
  </si>
  <si>
    <t>6.2oz.天竺ジップパーカー</t>
  </si>
  <si>
    <t>6.2oz.天竺スタンドジップジャケット</t>
  </si>
  <si>
    <t>8.0oz スイッチング3/4スリーブホッケーＴシャツ</t>
  </si>
  <si>
    <t>6.2ozフットボールＴシャツ</t>
  </si>
  <si>
    <t>10.3oz.ヴィンテージクルーネックスウェットスウェット</t>
  </si>
  <si>
    <t>13.2oz.スウェットアウター</t>
  </si>
  <si>
    <t>長袖ワークシャツ</t>
  </si>
  <si>
    <t>スィングトップ</t>
  </si>
  <si>
    <t>7.0oz ラグランジャージ（上）</t>
  </si>
  <si>
    <t>7.0oz ジャージ（下）</t>
  </si>
  <si>
    <t>DM4215</t>
    <phoneticPr fontId="6"/>
  </si>
  <si>
    <t>DM4215</t>
    <phoneticPr fontId="6"/>
  </si>
  <si>
    <t>DM4230</t>
    <phoneticPr fontId="6"/>
  </si>
  <si>
    <t>DM4230</t>
    <phoneticPr fontId="6"/>
  </si>
  <si>
    <t>DM4240</t>
    <phoneticPr fontId="6"/>
  </si>
  <si>
    <t>DM4240</t>
    <phoneticPr fontId="6"/>
  </si>
  <si>
    <t>DM4320</t>
    <phoneticPr fontId="6"/>
  </si>
  <si>
    <t>DM4320</t>
    <phoneticPr fontId="6"/>
  </si>
  <si>
    <t>DM4330</t>
    <phoneticPr fontId="6"/>
  </si>
  <si>
    <t>DM4330</t>
    <phoneticPr fontId="6"/>
  </si>
  <si>
    <t>5928-01</t>
    <phoneticPr fontId="6"/>
  </si>
  <si>
    <t>5928-01</t>
    <phoneticPr fontId="6"/>
  </si>
  <si>
    <t>10.0ozCVCクルーネックスウェット</t>
    <phoneticPr fontId="6"/>
  </si>
  <si>
    <t>00219-MLC</t>
    <phoneticPr fontId="6"/>
  </si>
  <si>
    <t>00219-MLC</t>
    <phoneticPr fontId="6"/>
  </si>
  <si>
    <t>ライトウォームウインターブルゾン</t>
    <phoneticPr fontId="6"/>
  </si>
  <si>
    <t>5624-01</t>
    <phoneticPr fontId="47"/>
  </si>
  <si>
    <t>10.0oz CVCスウェットパンツ</t>
    <phoneticPr fontId="6"/>
  </si>
  <si>
    <t>防寒ブルゾン 2903</t>
    <phoneticPr fontId="6"/>
  </si>
  <si>
    <t>D-CT</t>
    <phoneticPr fontId="6"/>
  </si>
  <si>
    <t>カモフラージュTシャツ</t>
    <phoneticPr fontId="6"/>
  </si>
  <si>
    <t>ライトウォームウインターコート</t>
    <phoneticPr fontId="6"/>
  </si>
  <si>
    <t>ライトウォームウインターパンツ</t>
    <phoneticPr fontId="6"/>
  </si>
  <si>
    <t>ヘビィウェイトミドルレイヤー 84226</t>
    <phoneticPr fontId="6"/>
  </si>
  <si>
    <t>ライトウォームウインターブルゾン</t>
    <phoneticPr fontId="6"/>
  </si>
  <si>
    <t>ミドルウェイトミドルレイヤー 84235</t>
    <phoneticPr fontId="6"/>
  </si>
  <si>
    <t>ロングパンツ 8402</t>
    <phoneticPr fontId="6"/>
  </si>
  <si>
    <t>防寒ブルゾン 9103</t>
    <phoneticPr fontId="6"/>
  </si>
  <si>
    <t>7040-01</t>
    <phoneticPr fontId="47"/>
  </si>
  <si>
    <t xml:space="preserve">ナイロンデタッチャブルフルジップパーカ </t>
    <phoneticPr fontId="6"/>
  </si>
  <si>
    <t>TL-012</t>
    <phoneticPr fontId="6"/>
  </si>
  <si>
    <t>フリースひざ掛け（巾着入り）</t>
    <phoneticPr fontId="6"/>
  </si>
  <si>
    <t>MJ0061</t>
    <phoneticPr fontId="6"/>
  </si>
  <si>
    <t>MJ0061</t>
    <phoneticPr fontId="6"/>
  </si>
  <si>
    <t>3WAYジャケット</t>
    <phoneticPr fontId="6"/>
  </si>
  <si>
    <t>防寒ベスト　2906</t>
    <phoneticPr fontId="6"/>
  </si>
  <si>
    <t>フライトジャンパー44003</t>
    <phoneticPr fontId="6"/>
  </si>
  <si>
    <t>防寒ブルゾン　5703</t>
    <phoneticPr fontId="6"/>
  </si>
  <si>
    <t>10.0oz CVCスウェットフルジップパーカ</t>
    <phoneticPr fontId="6"/>
  </si>
  <si>
    <t>5620-01</t>
    <phoneticPr fontId="47"/>
  </si>
  <si>
    <t>5620-01</t>
    <phoneticPr fontId="47"/>
  </si>
  <si>
    <t>5620-02</t>
    <phoneticPr fontId="47"/>
  </si>
  <si>
    <t>10.0oz CVCスウェットフルジップパーカ（キッズ）</t>
    <phoneticPr fontId="6"/>
  </si>
  <si>
    <t>5624-02</t>
    <phoneticPr fontId="47"/>
  </si>
  <si>
    <t>5624-02</t>
    <phoneticPr fontId="47"/>
  </si>
  <si>
    <t>10.0oz CVCスウェットパンツ（キッズ）</t>
    <phoneticPr fontId="6"/>
  </si>
  <si>
    <t>00240-CFT</t>
  </si>
  <si>
    <t>00242-CFZ</t>
  </si>
  <si>
    <t>00241-CFH</t>
  </si>
  <si>
    <t>00243-CFP</t>
  </si>
  <si>
    <t>裏起毛トレーナー</t>
    <phoneticPr fontId="6"/>
  </si>
  <si>
    <t>裏起毛ジップパーカ</t>
    <phoneticPr fontId="6"/>
  </si>
  <si>
    <t>裏起毛プルパーカー</t>
    <phoneticPr fontId="6"/>
  </si>
  <si>
    <t>裏起毛パンツ</t>
    <phoneticPr fontId="6"/>
  </si>
  <si>
    <t>1337-04</t>
  </si>
  <si>
    <t>1338-04</t>
  </si>
  <si>
    <t>1339-04</t>
  </si>
  <si>
    <t>8.3ozCVCスウェットフルジップパーカ</t>
    <phoneticPr fontId="6"/>
  </si>
  <si>
    <t>8.3ozCVCスウェットプルオーバーパーカ（裏起毛）</t>
    <phoneticPr fontId="6"/>
  </si>
  <si>
    <t>8.3ozCVCクルーネックスウェット（裏起毛）</t>
    <phoneticPr fontId="6"/>
  </si>
  <si>
    <t>7052-01</t>
    <phoneticPr fontId="6"/>
  </si>
  <si>
    <t>ナイロンベンチコート（タイプミリタリーコート）</t>
    <phoneticPr fontId="6"/>
  </si>
  <si>
    <t>CAB</t>
    <phoneticPr fontId="6"/>
  </si>
  <si>
    <t>T-6880</t>
    <phoneticPr fontId="6"/>
  </si>
  <si>
    <t>T-6880</t>
    <phoneticPr fontId="6"/>
  </si>
  <si>
    <t>エプロン　T-6880</t>
    <phoneticPr fontId="6"/>
  </si>
  <si>
    <t>5791-01</t>
    <phoneticPr fontId="6"/>
  </si>
  <si>
    <t>ドライロングスリーブTシャツ　5791-01</t>
    <phoneticPr fontId="6"/>
  </si>
  <si>
    <t>CAB</t>
    <phoneticPr fontId="6"/>
  </si>
  <si>
    <t>FLC-018</t>
    <phoneticPr fontId="6"/>
  </si>
  <si>
    <t>FLC-018</t>
    <phoneticPr fontId="6"/>
  </si>
  <si>
    <t>フリースコート</t>
    <phoneticPr fontId="6"/>
  </si>
  <si>
    <t>A4コットンバッグ</t>
    <phoneticPr fontId="6"/>
  </si>
  <si>
    <t>TR-0128</t>
    <phoneticPr fontId="6"/>
  </si>
  <si>
    <t>コットンバッグM</t>
    <phoneticPr fontId="6"/>
  </si>
  <si>
    <t>TR-0102</t>
    <phoneticPr fontId="6"/>
  </si>
  <si>
    <t xml:space="preserve"> 〒761-8058　香川県高松市勅使町597-1 グローバル高松1F</t>
    <phoneticPr fontId="6"/>
  </si>
  <si>
    <t xml:space="preserve"> 〒761-8058　香川県高松市勅使町597-1 グローバル高松1F</t>
    <rPh sb="11" eb="14">
      <t>カガワケン</t>
    </rPh>
    <rPh sb="14" eb="17">
      <t>タカマツシ</t>
    </rPh>
    <rPh sb="17" eb="20">
      <t>チョクシチョウ</t>
    </rPh>
    <rPh sb="31" eb="33">
      <t>タカマツ</t>
    </rPh>
    <phoneticPr fontId="3"/>
  </si>
  <si>
    <t>★ご確認後は、お手数ですが、ReFAXをお願い致します。</t>
    <rPh sb="2" eb="4">
      <t>カクニン</t>
    </rPh>
    <rPh sb="4" eb="5">
      <t>ゴ</t>
    </rPh>
    <rPh sb="8" eb="10">
      <t>テスウ</t>
    </rPh>
    <rPh sb="21" eb="22">
      <t>ネガ</t>
    </rPh>
    <rPh sb="23" eb="24">
      <t>イタ</t>
    </rPh>
    <phoneticPr fontId="6"/>
  </si>
  <si>
    <t>ライブカラー(株)</t>
    <phoneticPr fontId="6"/>
  </si>
  <si>
    <t>ライブカラー(株)</t>
    <phoneticPr fontId="6"/>
  </si>
  <si>
    <t xml:space="preserve"> □ライブカラー(株)</t>
    <phoneticPr fontId="6"/>
  </si>
  <si>
    <t>087-816-8151</t>
    <phoneticPr fontId="6"/>
  </si>
  <si>
    <t>087-816-8151</t>
    <phoneticPr fontId="6"/>
  </si>
  <si>
    <t xml:space="preserve"> □ライブカラー(株)</t>
    <phoneticPr fontId="6"/>
  </si>
  <si>
    <t xml:space="preserve"> 〒761-8058　香川県高松市勅使町597-1 グローバル高松1F</t>
    <phoneticPr fontId="3"/>
  </si>
  <si>
    <t xml:space="preserve"> 〒761-8058　香川県高松市勅使町597-1 グローバル高松1F</t>
    <phoneticPr fontId="6"/>
  </si>
  <si>
    <t>087-816-8151</t>
    <phoneticPr fontId="6"/>
  </si>
  <si>
    <r>
      <t xml:space="preserve"> □お客様に直送      </t>
    </r>
    <r>
      <rPr>
        <b/>
        <sz val="11"/>
        <rFont val="HG丸ｺﾞｼｯｸM-PRO"/>
        <family val="3"/>
        <charset val="128"/>
      </rPr>
      <t>※送り主を弊社に変更もしくは備考欄に明記して下さい※</t>
    </r>
    <rPh sb="15" eb="16">
      <t>オク</t>
    </rPh>
    <rPh sb="17" eb="18">
      <t>ヌシ</t>
    </rPh>
    <rPh sb="19" eb="21">
      <t>ヘイシャ</t>
    </rPh>
    <rPh sb="22" eb="24">
      <t>ヘンコウ</t>
    </rPh>
    <rPh sb="28" eb="30">
      <t>ビコウ</t>
    </rPh>
    <rPh sb="30" eb="31">
      <t>ラン</t>
    </rPh>
    <rPh sb="32" eb="34">
      <t>メイキ</t>
    </rPh>
    <rPh sb="36" eb="37">
      <t>クダ</t>
    </rPh>
    <phoneticPr fontId="11"/>
  </si>
  <si>
    <t>トレードワークス用</t>
    <rPh sb="8" eb="9">
      <t>ヨウ</t>
    </rPh>
    <phoneticPr fontId="6"/>
  </si>
  <si>
    <t>※送り主を弊社に変更して下さい。※</t>
    <phoneticPr fontId="6"/>
  </si>
  <si>
    <t xml:space="preserve"> □お客様に直送</t>
    <phoneticPr fontId="11"/>
  </si>
  <si>
    <t>※送り主を弊社に変更、もしくは備考欄に明記して下さい。※</t>
    <phoneticPr fontId="6"/>
  </si>
  <si>
    <t>OE1116</t>
    <phoneticPr fontId="6"/>
  </si>
  <si>
    <t>OE1116</t>
    <phoneticPr fontId="6"/>
  </si>
  <si>
    <t>オープンエンドマックスウェイトTシャツ</t>
    <phoneticPr fontId="6"/>
  </si>
  <si>
    <t>BOBWIN</t>
    <phoneticPr fontId="6"/>
  </si>
  <si>
    <t>株式会社BOBWIN</t>
    <phoneticPr fontId="6"/>
  </si>
  <si>
    <t>WashFactory　クリスタルウォッシュTシャツ</t>
    <phoneticPr fontId="6"/>
  </si>
  <si>
    <t>WashFactory　スパイラルダイTシャツ</t>
    <phoneticPr fontId="6"/>
  </si>
  <si>
    <t>WashFactory　ディップダイTシャツ</t>
    <phoneticPr fontId="6"/>
  </si>
  <si>
    <t>WashFactory　サンダーTシャツ</t>
    <phoneticPr fontId="6"/>
  </si>
  <si>
    <t>WashFactory　クラウドタイダイTシャツ</t>
    <phoneticPr fontId="6"/>
  </si>
  <si>
    <t>WashFactory　ピグメントダイTシャツ</t>
    <phoneticPr fontId="6"/>
  </si>
  <si>
    <t>WashFactory　ストーンウォッシュTシャツ</t>
    <phoneticPr fontId="6"/>
  </si>
  <si>
    <t>Factory　スエードウォッシュTシャツ</t>
    <phoneticPr fontId="6"/>
  </si>
  <si>
    <t>※16時までのFAX発注で、当日福島県の倉庫より出荷（中一日）。遠方の倉庫なので余裕をみて発注。FAX後に電話確認＆リFAXもらうこと。</t>
    <rPh sb="3" eb="4">
      <t>ジ</t>
    </rPh>
    <rPh sb="10" eb="12">
      <t>ハッチュウ</t>
    </rPh>
    <rPh sb="14" eb="16">
      <t>トウジツ</t>
    </rPh>
    <rPh sb="16" eb="19">
      <t>フクシマケン</t>
    </rPh>
    <rPh sb="20" eb="22">
      <t>ソウコ</t>
    </rPh>
    <rPh sb="24" eb="26">
      <t>シュッカ</t>
    </rPh>
    <rPh sb="27" eb="28">
      <t>ナカ</t>
    </rPh>
    <rPh sb="28" eb="30">
      <t>イチニチ</t>
    </rPh>
    <rPh sb="32" eb="34">
      <t>エンポウ</t>
    </rPh>
    <rPh sb="35" eb="37">
      <t>ソウコ</t>
    </rPh>
    <rPh sb="40" eb="42">
      <t>ヨユウ</t>
    </rPh>
    <rPh sb="45" eb="47">
      <t>ハッチュウ</t>
    </rPh>
    <rPh sb="51" eb="52">
      <t>ゴ</t>
    </rPh>
    <rPh sb="53" eb="55">
      <t>デンワ</t>
    </rPh>
    <rPh sb="55" eb="57">
      <t>カクニン</t>
    </rPh>
    <phoneticPr fontId="6"/>
  </si>
  <si>
    <t>有限会社ディ・アール・シー</t>
    <phoneticPr fontId="6"/>
  </si>
  <si>
    <t>ディー・アール・シー</t>
    <phoneticPr fontId="6"/>
  </si>
  <si>
    <t>※無地の場合、午前中のFAX発注で当日出荷。プラスワン入れの場合は、中一日かかります。</t>
    <rPh sb="1" eb="3">
      <t>ムジ</t>
    </rPh>
    <rPh sb="4" eb="6">
      <t>バアイ</t>
    </rPh>
    <rPh sb="7" eb="10">
      <t>ゴゼンチュウ</t>
    </rPh>
    <rPh sb="14" eb="16">
      <t>ハッチュウ</t>
    </rPh>
    <rPh sb="17" eb="19">
      <t>トウジツ</t>
    </rPh>
    <rPh sb="19" eb="21">
      <t>シュッカ</t>
    </rPh>
    <rPh sb="27" eb="28">
      <t>イ</t>
    </rPh>
    <rPh sb="30" eb="32">
      <t>バアイ</t>
    </rPh>
    <rPh sb="34" eb="35">
      <t>ナカ</t>
    </rPh>
    <rPh sb="35" eb="37">
      <t>イチニチ</t>
    </rPh>
    <phoneticPr fontId="6"/>
  </si>
  <si>
    <t>Mp-MB</t>
    <phoneticPr fontId="6"/>
  </si>
  <si>
    <t>Mp-MB</t>
    <phoneticPr fontId="6"/>
  </si>
  <si>
    <t>ミニボーンメガホン</t>
    <phoneticPr fontId="6"/>
  </si>
  <si>
    <t>Mp-NS</t>
    <phoneticPr fontId="6"/>
  </si>
  <si>
    <t>Mp-NS</t>
    <phoneticPr fontId="6"/>
  </si>
  <si>
    <t>ノーマルサイズメガホン</t>
    <phoneticPr fontId="6"/>
  </si>
  <si>
    <t>Mp-SS</t>
    <phoneticPr fontId="6"/>
  </si>
  <si>
    <t>Mp-SS</t>
    <phoneticPr fontId="6"/>
  </si>
  <si>
    <t>スモールサイズメガホン</t>
    <phoneticPr fontId="6"/>
  </si>
  <si>
    <t>長袖 ブルゾン 613</t>
    <phoneticPr fontId="6"/>
  </si>
  <si>
    <t>カーゴパンツ 618</t>
    <phoneticPr fontId="6"/>
  </si>
  <si>
    <t>POT-104</t>
  </si>
  <si>
    <t>SFL-110</t>
  </si>
  <si>
    <t>SFV-113</t>
  </si>
  <si>
    <t>SFU-114</t>
  </si>
  <si>
    <t>SFT-106</t>
  </si>
  <si>
    <t>ファイバーTシャツ</t>
    <phoneticPr fontId="6"/>
  </si>
  <si>
    <t>スリムフィット長袖Tシャツ</t>
    <phoneticPr fontId="6"/>
  </si>
  <si>
    <t>スリムフィットVネックTシャツ</t>
    <phoneticPr fontId="6"/>
  </si>
  <si>
    <t>スリムフィットUネックTシャツ</t>
    <phoneticPr fontId="6"/>
  </si>
  <si>
    <t>スリムフィットTシャツ</t>
    <phoneticPr fontId="6"/>
  </si>
  <si>
    <t>No45</t>
    <phoneticPr fontId="6"/>
  </si>
  <si>
    <t>No45</t>
    <phoneticPr fontId="6"/>
  </si>
  <si>
    <t>山高帽　No.45</t>
    <phoneticPr fontId="6"/>
  </si>
  <si>
    <t>00154-BQT</t>
    <phoneticPr fontId="6"/>
  </si>
  <si>
    <t>printstar　7分袖Tシャツ</t>
    <phoneticPr fontId="6"/>
  </si>
  <si>
    <t>00153-BHT</t>
  </si>
  <si>
    <t>00153-BHT</t>
    <phoneticPr fontId="6"/>
  </si>
  <si>
    <t>printstar　5分袖Tシャツ</t>
  </si>
  <si>
    <t>00773-CEB</t>
    <phoneticPr fontId="6"/>
  </si>
  <si>
    <t>00773-CEB</t>
    <phoneticPr fontId="6"/>
  </si>
  <si>
    <t>カラーエナメルバッグ</t>
    <phoneticPr fontId="6"/>
  </si>
  <si>
    <t>長袖ブルゾン　533</t>
    <phoneticPr fontId="6"/>
  </si>
  <si>
    <t>DN-6853</t>
    <phoneticPr fontId="6"/>
  </si>
  <si>
    <t>DN-6853</t>
    <phoneticPr fontId="6"/>
  </si>
  <si>
    <t>白衣（七分袖）【男女兼用】DN-6853</t>
    <phoneticPr fontId="6"/>
  </si>
  <si>
    <t>1549-01</t>
    <phoneticPr fontId="6"/>
  </si>
  <si>
    <t>1549-01</t>
    <phoneticPr fontId="6"/>
  </si>
  <si>
    <t>14.3ozキャンバスファットストリングランチバッグ</t>
    <phoneticPr fontId="6"/>
  </si>
  <si>
    <t>DL202</t>
    <phoneticPr fontId="6"/>
  </si>
  <si>
    <t>DL202</t>
    <phoneticPr fontId="6"/>
  </si>
  <si>
    <t>50/50ドルマンTシャツ</t>
    <phoneticPr fontId="6"/>
  </si>
  <si>
    <t>担当：三本木様。キープ期間は希望に添ってくれます。</t>
    <rPh sb="0" eb="2">
      <t>タントウ</t>
    </rPh>
    <rPh sb="3" eb="5">
      <t>サンボン</t>
    </rPh>
    <rPh sb="5" eb="6">
      <t>キ</t>
    </rPh>
    <rPh sb="6" eb="7">
      <t>サマ</t>
    </rPh>
    <rPh sb="11" eb="13">
      <t>キカン</t>
    </rPh>
    <rPh sb="14" eb="16">
      <t>キボウ</t>
    </rPh>
    <rPh sb="17" eb="18">
      <t>ソ</t>
    </rPh>
    <phoneticPr fontId="6"/>
  </si>
  <si>
    <t>00223-SDP</t>
  </si>
  <si>
    <t>00225-SBP</t>
  </si>
  <si>
    <t>00224-SBN</t>
  </si>
  <si>
    <t>00151-BSL</t>
  </si>
  <si>
    <t>00152-BPT</t>
  </si>
  <si>
    <t>00159-HGL</t>
  </si>
  <si>
    <t>スタンダードポロシャツ</t>
    <phoneticPr fontId="6"/>
  </si>
  <si>
    <t>スタンダードB/Dポロシャツ(ポケット付)</t>
    <phoneticPr fontId="6"/>
  </si>
  <si>
    <t>スタンダードB/Dポロシャツ</t>
    <phoneticPr fontId="6"/>
  </si>
  <si>
    <t>スリットTシャツ</t>
    <phoneticPr fontId="6"/>
  </si>
  <si>
    <t>ハイグレードロングTシャツ</t>
    <phoneticPr fontId="6"/>
  </si>
  <si>
    <t>Printstar ポケットTシャツ</t>
    <phoneticPr fontId="6"/>
  </si>
  <si>
    <t>5900-01</t>
    <phoneticPr fontId="6"/>
  </si>
  <si>
    <t>4.1ozドライTシャツ（アダルト）</t>
    <phoneticPr fontId="6"/>
  </si>
  <si>
    <t>スウェットスカート</t>
    <phoneticPr fontId="6"/>
  </si>
  <si>
    <t>TRS-700</t>
  </si>
  <si>
    <t>PKT-124</t>
  </si>
  <si>
    <t>LBT-600</t>
  </si>
  <si>
    <t>ベーシックスタイルTシャツ</t>
    <phoneticPr fontId="6"/>
  </si>
  <si>
    <t>ポケットTシャツ</t>
    <phoneticPr fontId="6"/>
  </si>
  <si>
    <t>Canvas ライトウェイトTシャツ</t>
    <phoneticPr fontId="6"/>
  </si>
  <si>
    <t>TS-0764</t>
  </si>
  <si>
    <t>TR-0521</t>
  </si>
  <si>
    <t>PUパスケース</t>
    <phoneticPr fontId="6"/>
  </si>
  <si>
    <t>不織布巾着（M）</t>
    <phoneticPr fontId="6"/>
  </si>
  <si>
    <t>WDO-805</t>
  </si>
  <si>
    <t>ウィメンズドルマンワンピース</t>
    <phoneticPr fontId="6"/>
  </si>
  <si>
    <t>長袖サポートローネックシャツ</t>
    <rPh sb="0" eb="2">
      <t>ナガソデ</t>
    </rPh>
    <phoneticPr fontId="6"/>
  </si>
  <si>
    <t>1259-04</t>
  </si>
  <si>
    <t>1248-04</t>
  </si>
  <si>
    <t>4.3ozドライXラインTシャツ</t>
    <phoneticPr fontId="6"/>
  </si>
  <si>
    <t>5.0ozストレッチトップス</t>
    <phoneticPr fontId="6"/>
  </si>
  <si>
    <t>5147-02</t>
  </si>
  <si>
    <t>5.6ozベイビービブ</t>
    <phoneticPr fontId="6"/>
  </si>
  <si>
    <t>G-1082</t>
  </si>
  <si>
    <t>プリント染ジンベイ（男）</t>
    <phoneticPr fontId="6"/>
  </si>
  <si>
    <t>(株)ゲイト</t>
    <phoneticPr fontId="6"/>
  </si>
  <si>
    <t>ライブカラー(株)</t>
    <phoneticPr fontId="6"/>
  </si>
  <si>
    <t>カーゴパンツ 538</t>
    <phoneticPr fontId="6"/>
  </si>
  <si>
    <t>TOMS</t>
    <phoneticPr fontId="6"/>
  </si>
  <si>
    <t>スラックス 539</t>
    <phoneticPr fontId="6"/>
  </si>
  <si>
    <t>フリーストレッチロングスリーブシャツ</t>
    <phoneticPr fontId="6"/>
  </si>
  <si>
    <t>ボンマックス</t>
    <phoneticPr fontId="6"/>
  </si>
  <si>
    <t>MS3104</t>
    <phoneticPr fontId="6"/>
  </si>
  <si>
    <t>MS3104</t>
    <phoneticPr fontId="6"/>
  </si>
  <si>
    <t xml:space="preserve">ポケット付き鹿の子ポロシャツ </t>
    <phoneticPr fontId="6"/>
  </si>
  <si>
    <t>プレミアムコットンTシャツ</t>
    <phoneticPr fontId="6"/>
  </si>
  <si>
    <t>UZT416</t>
    <phoneticPr fontId="6"/>
  </si>
  <si>
    <t>UZT416</t>
    <phoneticPr fontId="6"/>
  </si>
  <si>
    <t>ボタンダウンシャツUZT416　【レディース】</t>
    <phoneticPr fontId="6"/>
  </si>
  <si>
    <t>MTR6040</t>
    <phoneticPr fontId="6"/>
  </si>
  <si>
    <t>MTR6040</t>
    <phoneticPr fontId="6"/>
  </si>
  <si>
    <t>heatgear チャージドコットンHG SS</t>
    <phoneticPr fontId="6"/>
  </si>
  <si>
    <t>長袖サポートローネックシャツ　50378</t>
    <phoneticPr fontId="6"/>
  </si>
  <si>
    <t>サポートハーフパンツ</t>
    <phoneticPr fontId="6"/>
  </si>
  <si>
    <t>MCM5997</t>
    <phoneticPr fontId="6"/>
  </si>
  <si>
    <t>MCM5997</t>
    <phoneticPr fontId="6"/>
  </si>
  <si>
    <t>UAソニックHGコンプレッションLSモック</t>
    <phoneticPr fontId="6"/>
  </si>
  <si>
    <t>MTR5890</t>
  </si>
  <si>
    <t>MTR-9194</t>
  </si>
  <si>
    <t>MTR9111</t>
  </si>
  <si>
    <t>UAテックHG　SS</t>
    <phoneticPr fontId="6"/>
  </si>
  <si>
    <t>チームUAポロシャツ</t>
    <phoneticPr fontId="6"/>
  </si>
  <si>
    <t>UAチームアーマースウェットパンツ</t>
    <phoneticPr fontId="6"/>
  </si>
  <si>
    <t>MTR9111</t>
    <phoneticPr fontId="6"/>
  </si>
  <si>
    <t>MTR9110</t>
    <phoneticPr fontId="6"/>
  </si>
  <si>
    <t>UAチームアーマースウェットフーディ</t>
    <phoneticPr fontId="6"/>
  </si>
  <si>
    <t>MTR3021</t>
    <phoneticPr fontId="6"/>
  </si>
  <si>
    <t>UAダイナミックジャケット</t>
    <phoneticPr fontId="6"/>
  </si>
  <si>
    <t>MTR3660</t>
    <phoneticPr fontId="6"/>
  </si>
  <si>
    <t>UAチームウーブンジャケット</t>
    <phoneticPr fontId="6"/>
  </si>
  <si>
    <t>MTR3661</t>
    <phoneticPr fontId="6"/>
  </si>
  <si>
    <t>UAチームウーブンピステ</t>
    <phoneticPr fontId="6"/>
  </si>
  <si>
    <t>MTR9141</t>
    <phoneticPr fontId="6"/>
  </si>
  <si>
    <t>MTR3022</t>
    <phoneticPr fontId="6"/>
  </si>
  <si>
    <t>MTR3662</t>
    <phoneticPr fontId="6"/>
  </si>
  <si>
    <t>UAチームサマールウォームアップジャケット</t>
    <phoneticPr fontId="6"/>
  </si>
  <si>
    <t>UAチームウーブンパンツ</t>
    <phoneticPr fontId="6"/>
  </si>
  <si>
    <t>MTR4661</t>
    <phoneticPr fontId="6"/>
  </si>
  <si>
    <t>MTR9142</t>
    <phoneticPr fontId="6"/>
  </si>
  <si>
    <t>AAL4358</t>
    <phoneticPr fontId="6"/>
  </si>
  <si>
    <t>AAL4621</t>
    <phoneticPr fontId="6"/>
  </si>
  <si>
    <t>UAチームウーブンパンツ(裾絞り)</t>
    <phoneticPr fontId="6"/>
  </si>
  <si>
    <t>UAチームサマールウォームアップパンツ</t>
    <phoneticPr fontId="6"/>
  </si>
  <si>
    <t>UAチームキャップ</t>
    <phoneticPr fontId="6"/>
  </si>
  <si>
    <t>UAアークティックビーニー</t>
    <phoneticPr fontId="6"/>
  </si>
  <si>
    <t>プロテックス・アパレル(株)</t>
    <phoneticPr fontId="6"/>
  </si>
  <si>
    <t>T-134</t>
    <phoneticPr fontId="6"/>
  </si>
  <si>
    <t>T-134</t>
    <phoneticPr fontId="6"/>
  </si>
  <si>
    <t>エプロン　T-134</t>
    <phoneticPr fontId="6"/>
  </si>
  <si>
    <t>PT-1100</t>
    <phoneticPr fontId="6"/>
  </si>
  <si>
    <t>ALT レジメンタルタイ</t>
    <phoneticPr fontId="6"/>
  </si>
  <si>
    <t>MB-57</t>
    <phoneticPr fontId="6"/>
  </si>
  <si>
    <t>LIVIMODE ケーシー【メンズ】MB-57</t>
    <phoneticPr fontId="6"/>
  </si>
  <si>
    <t>DN-5193</t>
    <phoneticPr fontId="6"/>
  </si>
  <si>
    <t>DN-5193</t>
    <phoneticPr fontId="6"/>
  </si>
  <si>
    <t>コート【男女兼用】DN-5193</t>
    <phoneticPr fontId="6"/>
  </si>
  <si>
    <t>DL201</t>
    <phoneticPr fontId="6"/>
  </si>
  <si>
    <t>DL201</t>
    <phoneticPr fontId="6"/>
  </si>
  <si>
    <t>50/50クルーTシャツ</t>
    <phoneticPr fontId="6"/>
  </si>
  <si>
    <t>5490-04</t>
    <phoneticPr fontId="6"/>
  </si>
  <si>
    <t>5490-04</t>
    <phoneticPr fontId="6"/>
  </si>
  <si>
    <t>6.2ozフライスTシャツ</t>
    <phoneticPr fontId="6"/>
  </si>
  <si>
    <t>MB-6882</t>
    <phoneticPr fontId="6"/>
  </si>
  <si>
    <t>MB-6882</t>
    <phoneticPr fontId="6"/>
  </si>
  <si>
    <t>コート【男女兼用】MB-6882</t>
    <phoneticPr fontId="6"/>
  </si>
  <si>
    <t>DN-7466</t>
  </si>
  <si>
    <t>DN-7466</t>
    <phoneticPr fontId="6"/>
  </si>
  <si>
    <t>エプロン　DN-7466</t>
    <phoneticPr fontId="6"/>
  </si>
  <si>
    <t>SOWA 脇メッシュ仕様 T/Cつなぎ</t>
    <phoneticPr fontId="6"/>
  </si>
  <si>
    <t>ATP-261</t>
    <phoneticPr fontId="6"/>
  </si>
  <si>
    <t>ATP-261</t>
    <phoneticPr fontId="6"/>
  </si>
  <si>
    <t>Canvas アクティブポロシャツ</t>
    <phoneticPr fontId="6"/>
  </si>
  <si>
    <t>カーゴパンツ(ノータック) 570</t>
    <phoneticPr fontId="6"/>
  </si>
  <si>
    <t>女子スラックス 610</t>
    <phoneticPr fontId="6"/>
  </si>
  <si>
    <t>カーゴパンツ 728</t>
    <phoneticPr fontId="6"/>
  </si>
  <si>
    <t>SOWA イージーケア仕様 つなぎ 9900</t>
    <phoneticPr fontId="6"/>
  </si>
  <si>
    <t>久米繊維</t>
    <rPh sb="0" eb="2">
      <t>クメ</t>
    </rPh>
    <rPh sb="2" eb="4">
      <t>センイ</t>
    </rPh>
    <phoneticPr fontId="6"/>
  </si>
  <si>
    <t>ソフトスタイル4.5ozTシャツ</t>
    <phoneticPr fontId="6"/>
  </si>
  <si>
    <t>1090-04</t>
    <phoneticPr fontId="6"/>
  </si>
  <si>
    <t>1090-04</t>
    <phoneticPr fontId="6"/>
  </si>
  <si>
    <t>SB-919T</t>
    <phoneticPr fontId="6"/>
  </si>
  <si>
    <t>SB-919T</t>
    <phoneticPr fontId="6"/>
  </si>
  <si>
    <t>プレミアムＴシャツ</t>
    <phoneticPr fontId="6"/>
  </si>
  <si>
    <t>(株)ゲイト</t>
    <phoneticPr fontId="6"/>
  </si>
  <si>
    <t>(株)ゲイト</t>
    <phoneticPr fontId="6"/>
  </si>
  <si>
    <t>(株)ゲイト</t>
    <phoneticPr fontId="6"/>
  </si>
  <si>
    <t>VP-902</t>
    <phoneticPr fontId="6"/>
  </si>
  <si>
    <t>トラックハーフパンツ</t>
  </si>
  <si>
    <t>00318-AJW</t>
  </si>
  <si>
    <t>トラックジャケット（Women’s）</t>
  </si>
  <si>
    <t>00319-AZW</t>
  </si>
  <si>
    <t>トラックパンツ（Women’s）</t>
  </si>
  <si>
    <t>00320-AWJ</t>
  </si>
  <si>
    <t>アクティブウインドジャケット</t>
  </si>
  <si>
    <t>00321-AWP</t>
  </si>
  <si>
    <t>アクティブウインドパンツ</t>
  </si>
  <si>
    <t>00322-APJ</t>
  </si>
  <si>
    <t>アクティブピステ</t>
  </si>
  <si>
    <t>00323-APH</t>
  </si>
  <si>
    <t>アクティブピステハーフパンツ</t>
  </si>
  <si>
    <t>00324-APZ</t>
  </si>
  <si>
    <t>アクティブピステパンツ</t>
  </si>
  <si>
    <t>00325-ACP</t>
  </si>
  <si>
    <t>ドライハーフパンツ</t>
  </si>
  <si>
    <t>003-RFC</t>
  </si>
  <si>
    <t>リフレクコート</t>
  </si>
  <si>
    <t>00522-FT</t>
  </si>
  <si>
    <t>00550-RSB</t>
  </si>
  <si>
    <t>リストバンド</t>
  </si>
  <si>
    <t>006-EV</t>
  </si>
  <si>
    <t>イベントベスト</t>
  </si>
  <si>
    <t>00700-EVM</t>
  </si>
  <si>
    <t>イベントメッシュキャップ</t>
  </si>
  <si>
    <t>00701-NOM</t>
  </si>
  <si>
    <t>ネオンメッシュキャップ</t>
  </si>
  <si>
    <t>00702-RNC</t>
  </si>
  <si>
    <t>リフレクトネオンメッシュキャップ</t>
  </si>
  <si>
    <t>00703-EVW</t>
  </si>
  <si>
    <t>イベントホワイトメッシュキャップ</t>
  </si>
  <si>
    <t>00704-TTM</t>
  </si>
  <si>
    <t>スリートーンメッシュキャップ</t>
  </si>
  <si>
    <t>00705-CSM</t>
  </si>
  <si>
    <t>カジュアルサンドメッシュキャップ</t>
  </si>
  <si>
    <t>00706-CLM</t>
  </si>
  <si>
    <t>カジュアルラインメッシュキャップ</t>
  </si>
  <si>
    <t>00707-EVV</t>
  </si>
  <si>
    <t>イベントバイザー</t>
  </si>
  <si>
    <t>00708-RVC</t>
  </si>
  <si>
    <t>ラッセルイベントキャップ</t>
  </si>
  <si>
    <t>00709-RTC</t>
  </si>
  <si>
    <t>ラッセルツイルキャップ</t>
  </si>
  <si>
    <t>00710-CTC</t>
  </si>
  <si>
    <t>クラブツイルキャップ</t>
  </si>
  <si>
    <t>00711-TMC</t>
  </si>
  <si>
    <t>ツイルメッシュキャップ</t>
  </si>
  <si>
    <t>00712-MTC</t>
  </si>
  <si>
    <t>メジャーツイルキャップ</t>
  </si>
  <si>
    <t>00713-DTC</t>
  </si>
  <si>
    <t>デザインツイルキャップ</t>
  </si>
  <si>
    <t>00714-TTC</t>
  </si>
  <si>
    <t>ツートンツイルキャップ</t>
  </si>
  <si>
    <t>00715-STC</t>
  </si>
  <si>
    <t>カラーステッチツイルキャップ</t>
  </si>
  <si>
    <t>00716-CVR</t>
  </si>
  <si>
    <t>クラブバイザー</t>
  </si>
  <si>
    <t>00717-VMC</t>
  </si>
  <si>
    <t>ビンテージメッシュキャップ</t>
  </si>
  <si>
    <t>00718-VTC</t>
  </si>
  <si>
    <t>ビンテージツイルキャップ</t>
  </si>
  <si>
    <t>00719-VHT</t>
  </si>
  <si>
    <t>ビンテージハット</t>
  </si>
  <si>
    <t>00720-HCP</t>
  </si>
  <si>
    <t>ハニカムエアーキャップ</t>
  </si>
  <si>
    <t>00722-ETC</t>
  </si>
  <si>
    <t>エコツイルキャップ2</t>
  </si>
  <si>
    <t>00723-BNE</t>
  </si>
  <si>
    <t>ビーニー</t>
  </si>
  <si>
    <t>00724-BLN</t>
  </si>
  <si>
    <t>ロングビーニー</t>
  </si>
  <si>
    <t>00730-CAW</t>
  </si>
  <si>
    <t>アーミーワークキャップ</t>
  </si>
  <si>
    <t>00761-ENT</t>
  </si>
  <si>
    <t>トートバッグ</t>
  </si>
  <si>
    <t>00801-OSS</t>
  </si>
  <si>
    <t>オックスフォードボタンダウンシャツ半袖</t>
  </si>
  <si>
    <t>00802-OLS</t>
  </si>
  <si>
    <t>オックスフォードボタンダウンシャツ長袖</t>
  </si>
  <si>
    <t>00803-BSS</t>
  </si>
  <si>
    <t>ブロードボタンダウン半袖</t>
  </si>
  <si>
    <t>00804-BLS</t>
  </si>
  <si>
    <t>ブロードボタンダウンシャツ長袖</t>
  </si>
  <si>
    <t>00871-TBA</t>
  </si>
  <si>
    <t>PrintStar エプロン</t>
  </si>
  <si>
    <t>00872-TMA</t>
  </si>
  <si>
    <t>ショートエプロン</t>
  </si>
  <si>
    <t>00873-TSA</t>
  </si>
  <si>
    <t>ソムリエエプロン</t>
  </si>
  <si>
    <t>00874-BBB</t>
  </si>
  <si>
    <t>010-EVC</t>
  </si>
  <si>
    <t>イベントキャップ</t>
  </si>
  <si>
    <t>012-SVT</t>
  </si>
  <si>
    <t>スーパーヘビーTシャツ</t>
  </si>
  <si>
    <t>017-LAP</t>
  </si>
  <si>
    <t>レザーエプロン</t>
  </si>
  <si>
    <t>018-CAP</t>
  </si>
  <si>
    <t>カラーエプロン</t>
  </si>
  <si>
    <t>sale122-MJL</t>
  </si>
  <si>
    <t>ジャージィー長袖Tシャツ10枚セット</t>
  </si>
  <si>
    <t>MUG-03</t>
  </si>
  <si>
    <t>マグカップ(101～)</t>
  </si>
  <si>
    <t>DL001</t>
  </si>
  <si>
    <t>DL007</t>
  </si>
  <si>
    <t>DALUC　パフスリーブTシャツ</t>
  </si>
  <si>
    <t>DL016</t>
  </si>
  <si>
    <t>ベーシックボートネック長袖Tシャツ</t>
  </si>
  <si>
    <t>DL017</t>
  </si>
  <si>
    <t>ベーシックVネック長袖Tシャツ</t>
  </si>
  <si>
    <t>DL018</t>
  </si>
  <si>
    <t>ベーシックボーダー長袖Tシャツ（レディース）</t>
  </si>
  <si>
    <t>DL019</t>
  </si>
  <si>
    <t>ソフトリブベーシックロングスリーブTシャツ</t>
  </si>
  <si>
    <t>DL021</t>
  </si>
  <si>
    <t>フレンチテリーロングスリーブ（レディース）</t>
  </si>
  <si>
    <t>DL022</t>
  </si>
  <si>
    <t>フレンチテリージップパーカー</t>
  </si>
  <si>
    <t>DL023</t>
  </si>
  <si>
    <t>ベーシックオーバルTシャツ</t>
  </si>
  <si>
    <t>DL024</t>
  </si>
  <si>
    <t>1/2スリーブTシャツ</t>
  </si>
  <si>
    <t>DL025</t>
  </si>
  <si>
    <t>フレンチテリーショートスリーブ</t>
  </si>
  <si>
    <t>DL026</t>
  </si>
  <si>
    <t>フレンチテリー1/2ジップパーカー</t>
  </si>
  <si>
    <t>DL027</t>
  </si>
  <si>
    <t>レーヨン混オーバルTシャツ</t>
  </si>
  <si>
    <t>DL030</t>
  </si>
  <si>
    <t>サーマルロングスリーブTシャツ</t>
  </si>
  <si>
    <t>DL031</t>
  </si>
  <si>
    <t>フレンチテリーロングパーカー</t>
  </si>
  <si>
    <t>DL032</t>
  </si>
  <si>
    <t>DalucベーシックTシャツ</t>
  </si>
  <si>
    <t>DL033</t>
  </si>
  <si>
    <t>DALUC T/CロングTシャツ</t>
  </si>
  <si>
    <t>DL035</t>
  </si>
  <si>
    <t>ロングロングスリーブTシャツ</t>
  </si>
  <si>
    <t>DL036</t>
  </si>
  <si>
    <t>ロングロングスリーブパーカー</t>
  </si>
  <si>
    <t>DL037</t>
  </si>
  <si>
    <t>BASICソフトTシャツ</t>
  </si>
  <si>
    <t>DL038</t>
  </si>
  <si>
    <t>ソフト3/4スリーブワンピース</t>
  </si>
  <si>
    <t>DL039</t>
  </si>
  <si>
    <t>ソフトVネック Tシャツ</t>
  </si>
  <si>
    <t>DL040</t>
  </si>
  <si>
    <t>ボーダーワンピース</t>
  </si>
  <si>
    <t>DL041</t>
  </si>
  <si>
    <t>BURN OUT Tシャツ</t>
  </si>
  <si>
    <t>DL042</t>
  </si>
  <si>
    <t>ドルマンロングTシャツ</t>
  </si>
  <si>
    <t>DM001</t>
  </si>
  <si>
    <t>DULUCベーシックTシャツ</t>
  </si>
  <si>
    <t>DM002</t>
  </si>
  <si>
    <t>ベーシックVネックTシャツ</t>
  </si>
  <si>
    <t>DM003</t>
  </si>
  <si>
    <t>ベーシックUネックTシャツ</t>
  </si>
  <si>
    <t>DM004</t>
  </si>
  <si>
    <t>3/4スリーブラグラン</t>
  </si>
  <si>
    <t>DM005</t>
  </si>
  <si>
    <t>ベーシックロングTシャツ</t>
  </si>
  <si>
    <t>DM009</t>
  </si>
  <si>
    <t>ピケポロシャツ</t>
  </si>
  <si>
    <t>DM011</t>
  </si>
  <si>
    <t>サーマル3/4スリーブTシャツ</t>
  </si>
  <si>
    <t>DM013</t>
  </si>
  <si>
    <t>ベーシックVネックロングTシャツ</t>
  </si>
  <si>
    <t>DM014</t>
  </si>
  <si>
    <t>ベーシックUネックロングTシャツ</t>
  </si>
  <si>
    <t>DM015</t>
  </si>
  <si>
    <t>ベーシックボーダー長袖Tシャツ</t>
  </si>
  <si>
    <t>DM016</t>
  </si>
  <si>
    <t>ベーシック細ボーダー長袖Tシャツ</t>
  </si>
  <si>
    <t>DM017</t>
  </si>
  <si>
    <t>フレンチテリーロングスリーブ</t>
  </si>
  <si>
    <t>DM019</t>
  </si>
  <si>
    <t>ベーシックボーダーTシャツ</t>
  </si>
  <si>
    <t>DM020</t>
  </si>
  <si>
    <t>ベーシック細ボーダーTシャツ</t>
  </si>
  <si>
    <t>DM021</t>
  </si>
  <si>
    <t>DULUCジャージーポロシャツ</t>
  </si>
  <si>
    <t>DM023</t>
  </si>
  <si>
    <t>リサイクルコットンTシャツ</t>
  </si>
  <si>
    <t>DM024</t>
  </si>
  <si>
    <t>サーマルLSTシャツ</t>
  </si>
  <si>
    <t>DM025</t>
  </si>
  <si>
    <t>トライミックスベーシックTシャツ</t>
  </si>
  <si>
    <t>DM026</t>
  </si>
  <si>
    <t>TRI MIX ベーシックロングスリーブTシャツ</t>
  </si>
  <si>
    <t>DM027</t>
  </si>
  <si>
    <t>トライミックススウェット</t>
  </si>
  <si>
    <t>DM028</t>
  </si>
  <si>
    <t>トライミックスパーカ</t>
  </si>
  <si>
    <t>DM029</t>
  </si>
  <si>
    <t>トライミックスジップパーカ</t>
  </si>
  <si>
    <t>DM030</t>
  </si>
  <si>
    <t>DALUCスタンダードTシャツ</t>
  </si>
  <si>
    <t>DM033</t>
  </si>
  <si>
    <t>T/C VネックTシャツ</t>
  </si>
  <si>
    <t>DOG</t>
  </si>
  <si>
    <t>犬服</t>
  </si>
  <si>
    <t>DU001</t>
  </si>
  <si>
    <t>ベーシックボクサーパンツ</t>
  </si>
  <si>
    <t>半袖ゲームシャツ863284</t>
  </si>
  <si>
    <t>ゲームパンツ863285</t>
  </si>
  <si>
    <t>ゲームパンツ864617</t>
  </si>
  <si>
    <t>半袖ゲームシャツ864816</t>
  </si>
  <si>
    <t>CTJ-047</t>
  </si>
  <si>
    <t>CTJ-047ラグビージャージ</t>
  </si>
  <si>
    <t>CTJ-048</t>
  </si>
  <si>
    <t>CTJ-048 ラグビージャージ</t>
  </si>
  <si>
    <t>CTJ-049</t>
  </si>
  <si>
    <t>CTJ-049ラグビージャージ</t>
  </si>
  <si>
    <t>CTJ-051</t>
  </si>
  <si>
    <t>CTJ-051ラグビーユニフォーム</t>
  </si>
  <si>
    <t>チップオフメッシュチームタンク</t>
  </si>
  <si>
    <t>チップオフメッシュチームショー</t>
  </si>
  <si>
    <t>S/S WF08ゲームシャツ</t>
  </si>
  <si>
    <t>WF08ゲームショート</t>
  </si>
  <si>
    <t>DRI-FITベーシックチームVネックタンク</t>
  </si>
  <si>
    <t>WF10ゲームシャツ</t>
  </si>
  <si>
    <t>WF10ゲームショート</t>
  </si>
  <si>
    <t>ラカロン・シャツ</t>
  </si>
  <si>
    <t>ラカロン・シャツ(レディース)</t>
  </si>
  <si>
    <t>レイズタッキー・シャツ</t>
  </si>
  <si>
    <t>TROFEOゲームショーツ</t>
  </si>
  <si>
    <t>TROFEOゲームジャージ</t>
  </si>
  <si>
    <t>リトミーノ・パンツ</t>
  </si>
  <si>
    <t xml:space="preserve">DRI-FITベーシックチームショート </t>
  </si>
  <si>
    <t>イモトスポーツ</t>
  </si>
  <si>
    <t>WRAJWTM01</t>
  </si>
  <si>
    <t>メンズジップアップゲームシャツ</t>
  </si>
  <si>
    <t>WRAJWTM02</t>
  </si>
  <si>
    <t>メンズポロゲームシャツ</t>
  </si>
  <si>
    <t>WRAJWTM03</t>
  </si>
  <si>
    <t>メンズゲームパンツ</t>
  </si>
  <si>
    <t>WRAJWTW01</t>
  </si>
  <si>
    <t>レディースジップアップゲームシャツ</t>
  </si>
  <si>
    <t>WRAJWTW02</t>
  </si>
  <si>
    <t>レディースポロゲームシャツ</t>
  </si>
  <si>
    <t>WRAJWTW03</t>
  </si>
  <si>
    <t>レディーススコート</t>
  </si>
  <si>
    <t>XW1298</t>
  </si>
  <si>
    <t>TIゲームシャツXL</t>
  </si>
  <si>
    <t>XW1299</t>
  </si>
  <si>
    <t>ウィメンズ_TI WSゲームシャツ</t>
  </si>
  <si>
    <t>XW1798</t>
  </si>
  <si>
    <t>TIゲームパンツ／スポーツ</t>
  </si>
  <si>
    <t>R8077</t>
  </si>
  <si>
    <t>Women'sゲームショーツ</t>
  </si>
  <si>
    <t>R8079</t>
  </si>
  <si>
    <t>Women's3STRIPEゲームジャージ</t>
  </si>
  <si>
    <t>SP122</t>
  </si>
  <si>
    <t>パワーシャツ(ロングスリーブ)</t>
  </si>
  <si>
    <t>LD062</t>
  </si>
  <si>
    <t>CONDIVO GKジャージS/S</t>
  </si>
  <si>
    <t>LD128</t>
  </si>
  <si>
    <t>CONDIVO GKゲームショーツ</t>
  </si>
  <si>
    <t>LD130</t>
  </si>
  <si>
    <t>CONDIVO GKゲームジャージ</t>
  </si>
  <si>
    <t>LD132</t>
  </si>
  <si>
    <t>CONDIVOゲームショーツ</t>
  </si>
  <si>
    <t>LD136</t>
  </si>
  <si>
    <t>CONDIVOゲームジャージS/S</t>
  </si>
  <si>
    <t>LD3359</t>
  </si>
  <si>
    <t>CONDIVO GKソックス</t>
  </si>
  <si>
    <t>子供顔料プリント・イベントはっぴ鮎（黒・黄）</t>
  </si>
  <si>
    <t>子供顔料プリント・イベント袢纏鮎（青）</t>
  </si>
  <si>
    <t>子供顔料プリント・イベント袢纏鮎（赤）</t>
  </si>
  <si>
    <t>大人袢纏「周」</t>
  </si>
  <si>
    <t>大人袢纏「銚」</t>
  </si>
  <si>
    <t>大人はっぴ（龍）オレンジ</t>
  </si>
  <si>
    <t>大人はっぴ（龍）黒</t>
  </si>
  <si>
    <t>大人顔料プリント・長はっぴ（時）</t>
  </si>
  <si>
    <t>大人顔料プリント・イベント袢纏（昭）赤</t>
  </si>
  <si>
    <t>大人顔料プリント・イベントはっぴ（炎）黒</t>
  </si>
  <si>
    <t>大人顔料プリント・イベントはっぴ（炎）白</t>
  </si>
  <si>
    <t>大人顔料プリント・イベントはっぴ（昭和）黒・黄</t>
  </si>
  <si>
    <t>大人顔料プリント・イベント袢纏（昭）青</t>
  </si>
  <si>
    <t>大人顔料プイリント・イベントハッピ桜</t>
  </si>
  <si>
    <t>大人顔料プリント・イベントはっぴ（傘）</t>
  </si>
  <si>
    <t>ポリエステル顔料プリント長はっぴ（帯）黒</t>
  </si>
  <si>
    <t>ポリエステル顔料プリント長はっぴ（帯）青</t>
  </si>
  <si>
    <t>イベント用はっぴ（袢纏）「社」</t>
  </si>
  <si>
    <t>イベントはっぴ（年）青</t>
  </si>
  <si>
    <t>イベントはっぴ（年）赤</t>
  </si>
  <si>
    <t>5346-5353</t>
  </si>
  <si>
    <t>カラーベルト</t>
  </si>
  <si>
    <t>S9491</t>
  </si>
  <si>
    <t>大人顔料半纏</t>
  </si>
  <si>
    <t>K-9153</t>
  </si>
  <si>
    <t>和風エコロジーバッグ</t>
  </si>
  <si>
    <t>コットンダブルメッシュCAP</t>
  </si>
  <si>
    <t>ダブルフレームキャップ</t>
  </si>
  <si>
    <t>エアーメッシュCAP</t>
  </si>
  <si>
    <t>ファンクションCAP</t>
  </si>
  <si>
    <t>フリースワッチCAP（ネックウォーマー）</t>
  </si>
  <si>
    <t>グランロボ　トレーナー</t>
  </si>
  <si>
    <t>ドライメッシュ VネックTシャツ</t>
  </si>
  <si>
    <t>グランロボヘビーウェイトTシャツ</t>
  </si>
  <si>
    <t>コットン長袖つなぎ（厚手）</t>
  </si>
  <si>
    <t>長袖ブルゾン　7223</t>
  </si>
  <si>
    <t>デニムつなぎ</t>
  </si>
  <si>
    <t>スラックス　8029</t>
  </si>
  <si>
    <t>カジュアルワークつなぎ</t>
  </si>
  <si>
    <t>激安つなぎ</t>
  </si>
  <si>
    <t>激安半袖つなぎ</t>
  </si>
  <si>
    <t>防寒ブルゾン　9106</t>
  </si>
  <si>
    <t>T/Cつなぎ</t>
  </si>
  <si>
    <t>続服（襟付き）</t>
  </si>
  <si>
    <t>長袖ブルゾン　5773</t>
  </si>
  <si>
    <t>カーゴパンツ 5778</t>
  </si>
  <si>
    <t>カジュアルワークシャツ（長袖シャツ）</t>
  </si>
  <si>
    <t>カジュアルワークシャツ（半袖シャツ）</t>
  </si>
  <si>
    <t>ベスト</t>
  </si>
  <si>
    <t>防寒ブルゾン　2403</t>
  </si>
  <si>
    <t>防水防寒ブルゾン　2803</t>
  </si>
  <si>
    <t>防水防寒コート　2806</t>
  </si>
  <si>
    <t>防水防寒パンツ　2809</t>
  </si>
  <si>
    <t>防寒コート2816</t>
  </si>
  <si>
    <t>サロペット</t>
  </si>
  <si>
    <t>長袖ブルゾン</t>
  </si>
  <si>
    <t>ボタンダウン長袖シャツ</t>
  </si>
  <si>
    <t>soberryカラーブルゾン</t>
  </si>
  <si>
    <t>長袖ブルゾン 3223</t>
  </si>
  <si>
    <t>soberry長袖シャツ</t>
  </si>
  <si>
    <t>カラーブルゾン</t>
  </si>
  <si>
    <t>防寒ブルゾン43403</t>
  </si>
  <si>
    <t>防寒ベスト43406</t>
  </si>
  <si>
    <t>パイロットジャンパー　4600</t>
  </si>
  <si>
    <t>吸汗速乾半袖ポロシャツ</t>
  </si>
  <si>
    <t>トランクス(2枚組)</t>
  </si>
  <si>
    <t>ボクサーブリーフ(2枚組)</t>
  </si>
  <si>
    <t>ドライハニカムメッシュTシャツ</t>
  </si>
  <si>
    <t>ドライ+デオドラントポロシャツ</t>
  </si>
  <si>
    <t>半袖ツートンTシャツ50403</t>
  </si>
  <si>
    <t>SOWAヘビーウェイトTシャツ</t>
  </si>
  <si>
    <t>防寒ブルゾン　5303</t>
  </si>
  <si>
    <t>カーゴパンツ　5338</t>
  </si>
  <si>
    <t>長袖ジャンパー</t>
  </si>
  <si>
    <t>高性能モダンワークシャツカラー（長袖シャツ）</t>
  </si>
  <si>
    <t>高性能モダンワークシャツホワイト（長袖シャツ）</t>
  </si>
  <si>
    <t>3Pスラックス</t>
  </si>
  <si>
    <t>1000K</t>
  </si>
  <si>
    <t>4Kジャンパー</t>
  </si>
  <si>
    <t>トレーナー（裏パイル）0009</t>
  </si>
  <si>
    <t>ヘビーウェイト半袖Tシャツ</t>
  </si>
  <si>
    <t>半袖ポロシャツ</t>
  </si>
  <si>
    <t>CS2251</t>
  </si>
  <si>
    <t>レギュラージップパーカー</t>
  </si>
  <si>
    <t>ブラトップ</t>
  </si>
  <si>
    <t>ショーツ</t>
  </si>
  <si>
    <t>テルミ</t>
  </si>
  <si>
    <t>MUG-01</t>
  </si>
  <si>
    <t>マグカップ(1～50)</t>
  </si>
  <si>
    <t>MUG-02</t>
  </si>
  <si>
    <t>マグカップ(51～100)</t>
  </si>
  <si>
    <t>ローネックロングスリーブ</t>
  </si>
  <si>
    <t>Vネックショートスリーブシャツ</t>
  </si>
  <si>
    <t>ロングスリーブシャツ</t>
  </si>
  <si>
    <t>ネックウォーマー84292</t>
  </si>
  <si>
    <t>ライトウォームジャケット</t>
  </si>
  <si>
    <t>ウインドブレーカーシャツ</t>
  </si>
  <si>
    <t>ウインドブレーカーハーフジップ</t>
  </si>
  <si>
    <t>ウインドブレーカーベスト</t>
  </si>
  <si>
    <t>カラージャンパー</t>
  </si>
  <si>
    <t>ショートスリーブシャツ</t>
  </si>
  <si>
    <t>ショートスリーブハーフジップ</t>
  </si>
  <si>
    <t>63-C</t>
  </si>
  <si>
    <t>キャンバスブックカバー</t>
  </si>
  <si>
    <t>64-C</t>
  </si>
  <si>
    <t>コットンティッシュカバー</t>
  </si>
  <si>
    <t>36-D</t>
  </si>
  <si>
    <t>デニムトートバッグ</t>
  </si>
  <si>
    <t>A-1021</t>
  </si>
  <si>
    <t>ちりめんバッグM</t>
  </si>
  <si>
    <t>A-1022</t>
  </si>
  <si>
    <t>ちりめんバッグS</t>
  </si>
  <si>
    <t>TS-0509</t>
  </si>
  <si>
    <t>ニュースペーパーペンシル</t>
  </si>
  <si>
    <t>TR-0358</t>
  </si>
  <si>
    <t>キャンバストート（S）キッチン</t>
  </si>
  <si>
    <t>TD-0001</t>
  </si>
  <si>
    <t>iPhone用BlueToothキーボード</t>
  </si>
  <si>
    <t>GA-0001</t>
  </si>
  <si>
    <t>MARKLESSSTYLEイベントブルゾン</t>
  </si>
  <si>
    <t>グラスタンブラー（300ml）</t>
  </si>
  <si>
    <t>グラスタンブラー（360ml）</t>
  </si>
  <si>
    <t>ステンレスマグ</t>
  </si>
  <si>
    <t>マグカップA（300ml）白</t>
  </si>
  <si>
    <t>マグカップA（300ml）黒</t>
  </si>
  <si>
    <t>マグカップB（300ml）白</t>
  </si>
  <si>
    <t>マグカップB（300ml）黒</t>
  </si>
  <si>
    <t>フリーグラスタンブラー（225ml）</t>
  </si>
  <si>
    <t>ロンググラスタンブラー（300ml）</t>
  </si>
  <si>
    <t>DISP332</t>
  </si>
  <si>
    <t>ファインジャージラグランTシャツ</t>
  </si>
  <si>
    <t>DISP333</t>
  </si>
  <si>
    <t>ファインジャージポロシャツ</t>
  </si>
  <si>
    <t>DISP351</t>
  </si>
  <si>
    <t>ファインジャージラグラン長袖Tシャツ</t>
  </si>
  <si>
    <t>DISP532</t>
  </si>
  <si>
    <t>レディース　ファインジャージラグランTシャツ</t>
  </si>
  <si>
    <t>DISP500</t>
  </si>
  <si>
    <t>レディースジップフードスウエットシャツ</t>
  </si>
  <si>
    <t>DISP531</t>
  </si>
  <si>
    <t>レディース　ファインジャージスタンダードTシャツ</t>
  </si>
  <si>
    <t>DISP533</t>
  </si>
  <si>
    <t>レディース　タンク1×1リブ</t>
  </si>
  <si>
    <t>DISP534</t>
  </si>
  <si>
    <t>レディース　キャミソール1×1リブ</t>
  </si>
  <si>
    <t>DISP535</t>
  </si>
  <si>
    <t>レディース　ファインジャージポロシャツ</t>
  </si>
  <si>
    <t>DISP551</t>
  </si>
  <si>
    <t>レディース　ファインジャージラグラン長袖Tシャツ</t>
  </si>
  <si>
    <t>WTC-802</t>
  </si>
  <si>
    <t>ウィメンズチュニックTシャツ</t>
  </si>
  <si>
    <t>MDB-025</t>
  </si>
  <si>
    <t>マルチデオドラントバッグ</t>
  </si>
  <si>
    <t>NPZ-021</t>
  </si>
  <si>
    <t>イベントバッグ</t>
  </si>
  <si>
    <t>HMK-213</t>
  </si>
  <si>
    <t>帆前掛け(日本製)</t>
  </si>
  <si>
    <t>RJ0048</t>
  </si>
  <si>
    <t>パトロールベスト</t>
  </si>
  <si>
    <t>RJ013</t>
  </si>
  <si>
    <t>パトロールブルゾン</t>
  </si>
  <si>
    <t>RJ025</t>
  </si>
  <si>
    <t>パトロールシングルDJ</t>
  </si>
  <si>
    <t>MA502</t>
  </si>
  <si>
    <t>アーバンエプロン</t>
  </si>
  <si>
    <t>MC6615</t>
  </si>
  <si>
    <t>アメリカンキャップ</t>
  </si>
  <si>
    <t>MC6616</t>
  </si>
  <si>
    <t>スウェットメッシュキャップ</t>
  </si>
  <si>
    <t>MC6617</t>
  </si>
  <si>
    <t>リーズナブルキャップ</t>
  </si>
  <si>
    <t>MC6618</t>
  </si>
  <si>
    <t>リフレックスキャップ</t>
  </si>
  <si>
    <t>MJ0042</t>
  </si>
  <si>
    <t>フードインDJ</t>
  </si>
  <si>
    <t>MJ0048</t>
  </si>
  <si>
    <t>Maximumイベントベスト</t>
  </si>
  <si>
    <t>MJ0050</t>
  </si>
  <si>
    <t>エアリーブルゾン</t>
  </si>
  <si>
    <t>MJ0052</t>
  </si>
  <si>
    <t>アスレチックブルゾン</t>
  </si>
  <si>
    <t>MJ0053</t>
  </si>
  <si>
    <t>フィールドコート</t>
  </si>
  <si>
    <t>MJ0055</t>
  </si>
  <si>
    <t>アクティブサーモコート</t>
  </si>
  <si>
    <t>MJ0056</t>
  </si>
  <si>
    <t>スライムリップジャケット</t>
  </si>
  <si>
    <t>MJ0059</t>
  </si>
  <si>
    <t>ショートスリーブ</t>
  </si>
  <si>
    <t>MJ0061</t>
  </si>
  <si>
    <t>3WAYジャケット</t>
  </si>
  <si>
    <t>MJ013</t>
  </si>
  <si>
    <t>MAXIMUMイベントブルゾン</t>
  </si>
  <si>
    <t>MJ019</t>
  </si>
  <si>
    <t>MAXIMUMベンチコート</t>
  </si>
  <si>
    <t>MJ020</t>
  </si>
  <si>
    <t>スパークベンチコート</t>
  </si>
  <si>
    <t>MJ023</t>
  </si>
  <si>
    <t>スタジアムジャンパー</t>
  </si>
  <si>
    <t>MJ025</t>
  </si>
  <si>
    <t>シングルDJ</t>
  </si>
  <si>
    <t>MJ037</t>
  </si>
  <si>
    <t>ダブルDJ</t>
  </si>
  <si>
    <t>MK7000</t>
  </si>
  <si>
    <t>コットンループエプロン</t>
  </si>
  <si>
    <t>MK7002</t>
  </si>
  <si>
    <t>キャンバスエプロン</t>
  </si>
  <si>
    <t>MK7003</t>
  </si>
  <si>
    <t>デニムエプロン</t>
  </si>
  <si>
    <t>MP6401</t>
  </si>
  <si>
    <t>※1週間キープ　※12時までにFAX注文→当日出荷→翌々日着。（宮城より）</t>
    <rPh sb="2" eb="4">
      <t>シュウカン</t>
    </rPh>
    <rPh sb="11" eb="12">
      <t>ジ</t>
    </rPh>
    <rPh sb="18" eb="20">
      <t>チュウモン</t>
    </rPh>
    <rPh sb="21" eb="23">
      <t>トウジツ</t>
    </rPh>
    <rPh sb="23" eb="25">
      <t>シュッカ</t>
    </rPh>
    <rPh sb="26" eb="29">
      <t>ヨクヨクジツ</t>
    </rPh>
    <rPh sb="29" eb="30">
      <t>チャク</t>
    </rPh>
    <rPh sb="32" eb="34">
      <t>ミヤギ</t>
    </rPh>
    <phoneticPr fontId="3"/>
  </si>
  <si>
    <t>P-10</t>
    <phoneticPr fontId="6"/>
  </si>
  <si>
    <t>サッカーソックス</t>
    <phoneticPr fontId="6"/>
  </si>
  <si>
    <t>メガヒートライトウォームジャケット</t>
    <phoneticPr fontId="6"/>
  </si>
  <si>
    <t>MJ0066</t>
    <phoneticPr fontId="6"/>
  </si>
  <si>
    <t>ライトベンチコート</t>
    <phoneticPr fontId="6"/>
  </si>
  <si>
    <t>ウルトラライトストレッチメンズパンツ</t>
    <phoneticPr fontId="6"/>
  </si>
  <si>
    <t>7046-01</t>
    <phoneticPr fontId="6"/>
  </si>
  <si>
    <t>ナイロンプルオーバーパーカ</t>
    <phoneticPr fontId="6"/>
  </si>
  <si>
    <t>　</t>
    <phoneticPr fontId="6"/>
  </si>
  <si>
    <t>セミロングボアコート</t>
    <phoneticPr fontId="11"/>
  </si>
  <si>
    <t>防寒ブルゾン　43603</t>
    <phoneticPr fontId="6"/>
  </si>
  <si>
    <t>1334-04</t>
    <phoneticPr fontId="6"/>
  </si>
  <si>
    <t>1334-04</t>
    <phoneticPr fontId="6"/>
  </si>
  <si>
    <t>8.3ozCVCスウェットショートパンツ</t>
    <phoneticPr fontId="6"/>
  </si>
  <si>
    <t>アイトス</t>
  </si>
  <si>
    <t>アイトス</t>
    <phoneticPr fontId="6"/>
  </si>
  <si>
    <t>AZ-6161</t>
    <phoneticPr fontId="6"/>
  </si>
  <si>
    <t>AZ-6161</t>
    <phoneticPr fontId="6"/>
  </si>
  <si>
    <t>AZ-8290</t>
    <phoneticPr fontId="6"/>
  </si>
  <si>
    <t>AZ-8290</t>
    <phoneticPr fontId="6"/>
  </si>
  <si>
    <t>AZ-10301</t>
    <phoneticPr fontId="6"/>
  </si>
  <si>
    <t>AZ-10779</t>
    <phoneticPr fontId="6"/>
  </si>
  <si>
    <t>AZ-10779</t>
    <phoneticPr fontId="6"/>
  </si>
  <si>
    <t>クロダルマ</t>
  </si>
  <si>
    <t>クロダルマ</t>
    <phoneticPr fontId="6"/>
  </si>
  <si>
    <t>防寒ブルゾン　AZ-6161</t>
    <phoneticPr fontId="6"/>
  </si>
  <si>
    <t>裏ボアベンチコート</t>
    <phoneticPr fontId="6"/>
  </si>
  <si>
    <t>フードインジャケット（男女兼用）</t>
    <phoneticPr fontId="6"/>
  </si>
  <si>
    <t>防寒ブルゾン　AZ-10779</t>
    <phoneticPr fontId="6"/>
  </si>
  <si>
    <t>KURODARUMA　３ウェイコート</t>
    <phoneticPr fontId="6"/>
  </si>
  <si>
    <t>AITOZ</t>
    <phoneticPr fontId="6"/>
  </si>
  <si>
    <t>KURODARUMA</t>
  </si>
  <si>
    <t>KURODARUMA</t>
    <phoneticPr fontId="6"/>
  </si>
  <si>
    <t>AITOZ　今治店</t>
    <phoneticPr fontId="6"/>
  </si>
  <si>
    <t>※担当：長野店長様。FAX発注は午前中、（WEBは14時まで）で当日出荷。大阪より通常翌日着。</t>
    <rPh sb="1" eb="3">
      <t>タントウ</t>
    </rPh>
    <rPh sb="4" eb="6">
      <t>ナガノ</t>
    </rPh>
    <rPh sb="6" eb="8">
      <t>テンチョウ</t>
    </rPh>
    <rPh sb="8" eb="9">
      <t>サマ</t>
    </rPh>
    <rPh sb="13" eb="15">
      <t>ハッチュウ</t>
    </rPh>
    <rPh sb="16" eb="19">
      <t>ゴゼンチュウ</t>
    </rPh>
    <rPh sb="27" eb="28">
      <t>ジ</t>
    </rPh>
    <rPh sb="32" eb="34">
      <t>トウジツ</t>
    </rPh>
    <rPh sb="34" eb="36">
      <t>シュッカ</t>
    </rPh>
    <rPh sb="37" eb="39">
      <t>オオサカ</t>
    </rPh>
    <rPh sb="41" eb="43">
      <t>ツウジョウ</t>
    </rPh>
    <rPh sb="43" eb="45">
      <t>ヨクジツ</t>
    </rPh>
    <rPh sb="45" eb="46">
      <t>チャク</t>
    </rPh>
    <phoneticPr fontId="6"/>
  </si>
  <si>
    <t>※担当：神原様。FAX・WEB共に午前中発注で当日出荷。広島より通常翌日～翌々日着。（福山通運使用）</t>
    <rPh sb="1" eb="3">
      <t>タントウ</t>
    </rPh>
    <rPh sb="4" eb="6">
      <t>カンバラ</t>
    </rPh>
    <rPh sb="6" eb="7">
      <t>サマ</t>
    </rPh>
    <rPh sb="15" eb="16">
      <t>トモ</t>
    </rPh>
    <rPh sb="17" eb="20">
      <t>ゴゼンチュウ</t>
    </rPh>
    <rPh sb="20" eb="22">
      <t>ハッチュウ</t>
    </rPh>
    <rPh sb="23" eb="25">
      <t>トウジツ</t>
    </rPh>
    <rPh sb="25" eb="27">
      <t>シュッカ</t>
    </rPh>
    <rPh sb="28" eb="30">
      <t>ヒロシマ</t>
    </rPh>
    <rPh sb="32" eb="34">
      <t>ツウジョウ</t>
    </rPh>
    <rPh sb="34" eb="36">
      <t>ヨクジツ</t>
    </rPh>
    <rPh sb="37" eb="40">
      <t>ヨクヨクジツ</t>
    </rPh>
    <rPh sb="40" eb="41">
      <t>チャク</t>
    </rPh>
    <rPh sb="43" eb="45">
      <t>フクヤマ</t>
    </rPh>
    <rPh sb="45" eb="47">
      <t>ツウウン</t>
    </rPh>
    <rPh sb="47" eb="49">
      <t>シヨウ</t>
    </rPh>
    <phoneticPr fontId="6"/>
  </si>
  <si>
    <t>BOWARM 裏ボアzip PK</t>
    <phoneticPr fontId="6"/>
  </si>
  <si>
    <t>BOWARM 裏ボアスウェットパンツ</t>
    <phoneticPr fontId="6"/>
  </si>
  <si>
    <t>TR-0615</t>
  </si>
  <si>
    <t>トレードワークス</t>
    <phoneticPr fontId="6"/>
  </si>
  <si>
    <t>TR-0615</t>
    <phoneticPr fontId="6"/>
  </si>
  <si>
    <t>ポリキャンバス２ハンドルトート</t>
    <phoneticPr fontId="6"/>
  </si>
  <si>
    <t>防水防寒ジャケット　2204</t>
    <phoneticPr fontId="6"/>
  </si>
  <si>
    <t>P-6990</t>
    <phoneticPr fontId="6"/>
  </si>
  <si>
    <t>ロング中綿コート</t>
    <phoneticPr fontId="6"/>
  </si>
  <si>
    <t>TR-0647</t>
    <phoneticPr fontId="6"/>
  </si>
  <si>
    <t>厚手ミニキャンバストート</t>
    <phoneticPr fontId="6"/>
  </si>
  <si>
    <t>124017L</t>
  </si>
  <si>
    <t>124018L</t>
  </si>
  <si>
    <t>124019L</t>
  </si>
  <si>
    <t>125023M</t>
  </si>
  <si>
    <t>125024M</t>
  </si>
  <si>
    <t>125025M</t>
  </si>
  <si>
    <t>MS3112</t>
    <phoneticPr fontId="6"/>
  </si>
  <si>
    <t>FB4017L</t>
    <phoneticPr fontId="6"/>
  </si>
  <si>
    <t>FB4018L</t>
    <phoneticPr fontId="6"/>
  </si>
  <si>
    <t>FB4019L</t>
    <phoneticPr fontId="6"/>
  </si>
  <si>
    <t>FB5023M</t>
    <phoneticPr fontId="6"/>
  </si>
  <si>
    <t>FB5024M</t>
    <phoneticPr fontId="6"/>
  </si>
  <si>
    <t>FB5025M</t>
    <phoneticPr fontId="6"/>
  </si>
  <si>
    <t>ポロシャツ(ユニセックス)　113112</t>
    <phoneticPr fontId="6"/>
  </si>
  <si>
    <t>レディスポロシャツ(チェック)　124017L</t>
    <phoneticPr fontId="6"/>
  </si>
  <si>
    <t>レディスポロシャツ(花柄A)　124018L</t>
    <phoneticPr fontId="6"/>
  </si>
  <si>
    <t>レディスポロシャツ(花柄B)　124019L</t>
    <phoneticPr fontId="6"/>
  </si>
  <si>
    <t>メンズポロシャツ(チェック)　125023M</t>
    <phoneticPr fontId="6"/>
  </si>
  <si>
    <t>メンズポロシャツ(花柄A)　125024M</t>
    <phoneticPr fontId="6"/>
  </si>
  <si>
    <t>メンズポロシャツ(花柄B)　125025M</t>
    <phoneticPr fontId="6"/>
  </si>
  <si>
    <t>124524U</t>
  </si>
  <si>
    <t>124525U</t>
  </si>
  <si>
    <t>126007M</t>
  </si>
  <si>
    <t>126008M</t>
  </si>
  <si>
    <t>126009M</t>
  </si>
  <si>
    <t>126307L</t>
  </si>
  <si>
    <t>126308L</t>
  </si>
  <si>
    <t>126309L</t>
  </si>
  <si>
    <t>アロハプリントポロシャツ　124524U</t>
    <phoneticPr fontId="6"/>
  </si>
  <si>
    <t>アロハプリントポロシャツ　124525U</t>
    <phoneticPr fontId="6"/>
  </si>
  <si>
    <t>メンズロールアップパンツ　126007M</t>
    <phoneticPr fontId="6"/>
  </si>
  <si>
    <t>メンズロールアップパンツ　126008M</t>
    <phoneticPr fontId="6"/>
  </si>
  <si>
    <t>メンズロールアップパンツ　126009M</t>
    <phoneticPr fontId="6"/>
  </si>
  <si>
    <t>レディースロールアップパンツ　126307L</t>
    <phoneticPr fontId="6"/>
  </si>
  <si>
    <t>レディースロールアップパンツ　126308L</t>
    <phoneticPr fontId="6"/>
  </si>
  <si>
    <t>レディースロールアップパンツ　126309L</t>
    <phoneticPr fontId="6"/>
  </si>
  <si>
    <t>FB4523U</t>
    <phoneticPr fontId="6"/>
  </si>
  <si>
    <t>FB4524U</t>
    <phoneticPr fontId="6"/>
  </si>
  <si>
    <t>FB4525U</t>
    <phoneticPr fontId="6"/>
  </si>
  <si>
    <t>FP6005M</t>
    <phoneticPr fontId="6"/>
  </si>
  <si>
    <t>FP6007M</t>
    <phoneticPr fontId="6"/>
  </si>
  <si>
    <t>FP6008M</t>
    <phoneticPr fontId="6"/>
  </si>
  <si>
    <t>FP6009M</t>
    <phoneticPr fontId="6"/>
  </si>
  <si>
    <t>FP6305L</t>
    <phoneticPr fontId="6"/>
  </si>
  <si>
    <t>FP6307L</t>
    <phoneticPr fontId="6"/>
  </si>
  <si>
    <t>FP6308L</t>
    <phoneticPr fontId="6"/>
  </si>
  <si>
    <t>FP6309L</t>
    <phoneticPr fontId="6"/>
  </si>
  <si>
    <t>FP6703U</t>
    <phoneticPr fontId="6"/>
  </si>
  <si>
    <t>TB4001L</t>
    <phoneticPr fontId="6"/>
  </si>
  <si>
    <t>TB4002L</t>
    <phoneticPr fontId="6"/>
  </si>
  <si>
    <t>TB4500U</t>
    <phoneticPr fontId="6"/>
  </si>
  <si>
    <t>メッシュベストポケット</t>
  </si>
  <si>
    <t>MV-7</t>
  </si>
  <si>
    <t>メッシュベストセーフティー</t>
  </si>
  <si>
    <t>NEC-220</t>
  </si>
  <si>
    <t>ネッククーラー</t>
  </si>
  <si>
    <t>NEO-20S</t>
  </si>
  <si>
    <t>ヘビーTシャツ</t>
  </si>
  <si>
    <t>NEO-40P</t>
  </si>
  <si>
    <t>ポケット付ヘビーＴシャツ</t>
  </si>
  <si>
    <t>DO-810</t>
  </si>
  <si>
    <t>ドハデハッピ</t>
  </si>
  <si>
    <t>DO-810R</t>
  </si>
  <si>
    <t>ドハデハッピ（袖なし）</t>
  </si>
  <si>
    <t>DRY-400</t>
  </si>
  <si>
    <t>ドライタッチ半袖ポロシャツ</t>
  </si>
  <si>
    <t>EKS-110</t>
  </si>
  <si>
    <t>エクスライブTシャツ</t>
  </si>
  <si>
    <t>EKS-220</t>
  </si>
  <si>
    <t>エクスライブ長袖Tシャツ</t>
  </si>
  <si>
    <t>EKS-330</t>
  </si>
  <si>
    <t>エクスライブVネックTシャツ</t>
  </si>
  <si>
    <t>EV-236</t>
  </si>
  <si>
    <t>メッシュベストチャイナ</t>
  </si>
  <si>
    <t>EX-800</t>
  </si>
  <si>
    <t>スパークベスト</t>
  </si>
  <si>
    <t>GX-6010</t>
  </si>
  <si>
    <t>タフレックスジャケット</t>
  </si>
  <si>
    <t>J-333</t>
  </si>
  <si>
    <t>ニットジャケット</t>
  </si>
  <si>
    <t>JP-888</t>
  </si>
  <si>
    <t>ニットロングパンツ</t>
  </si>
  <si>
    <t>リバース</t>
  </si>
  <si>
    <t>S11</t>
  </si>
  <si>
    <t>ウォールマグS11</t>
  </si>
  <si>
    <t>S13</t>
  </si>
  <si>
    <t>ウォールマグS13</t>
  </si>
  <si>
    <t>S5</t>
  </si>
  <si>
    <t>ウォールマグS5</t>
  </si>
  <si>
    <t>S500PR</t>
  </si>
  <si>
    <t>リユースボトル</t>
  </si>
  <si>
    <t>M11</t>
  </si>
  <si>
    <t>ウォールマグM11</t>
  </si>
  <si>
    <t>M13</t>
  </si>
  <si>
    <t>ウォールマグM13</t>
  </si>
  <si>
    <t>マッスルタンクトップ（ロック）</t>
  </si>
  <si>
    <t>タンクトップ</t>
  </si>
  <si>
    <t>マッスルタンクトップ(2×2リブ)</t>
  </si>
  <si>
    <t>マッスルタンクトップ（バインダー）</t>
  </si>
  <si>
    <t>キャミソール</t>
  </si>
  <si>
    <t>S/SショートスリーブTシャツ</t>
  </si>
  <si>
    <t>S/STシャツ</t>
  </si>
  <si>
    <t>S/SオーバルショートスリーブTシャツ</t>
  </si>
  <si>
    <t>S/SラグランTシャツ</t>
  </si>
  <si>
    <t>DM4301</t>
  </si>
  <si>
    <t>デミムーンポロシャツ</t>
  </si>
  <si>
    <t>DM4720</t>
  </si>
  <si>
    <t>スウェットスカート</t>
  </si>
  <si>
    <t>UZT104PE</t>
  </si>
  <si>
    <t>スレンダーパンツ　UZT104PE 　【男女兼用】</t>
  </si>
  <si>
    <t>UZT338E</t>
  </si>
  <si>
    <t>スラックス（ワンタック・脇ゴム）　UZT338E</t>
  </si>
  <si>
    <t>UZT372</t>
  </si>
  <si>
    <t>ブーツカットパンツUZT372　【レディース】</t>
  </si>
  <si>
    <t>UZT439</t>
  </si>
  <si>
    <t>ポロシャツUZT439　【男女兼用】</t>
  </si>
  <si>
    <t>廣川</t>
  </si>
  <si>
    <t>SIP350S</t>
  </si>
  <si>
    <t>ウォールマグSIP350S</t>
  </si>
  <si>
    <t>営業加工場選択用式</t>
    <rPh sb="0" eb="2">
      <t>エイギョウ</t>
    </rPh>
    <rPh sb="2" eb="4">
      <t>カコウ</t>
    </rPh>
    <rPh sb="4" eb="5">
      <t>バ</t>
    </rPh>
    <rPh sb="5" eb="7">
      <t>センタク</t>
    </rPh>
    <rPh sb="7" eb="8">
      <t>ヨウ</t>
    </rPh>
    <rPh sb="8" eb="9">
      <t>シキ</t>
    </rPh>
    <phoneticPr fontId="6"/>
  </si>
  <si>
    <t>メイン式用</t>
    <rPh sb="3" eb="4">
      <t>シキ</t>
    </rPh>
    <rPh sb="4" eb="5">
      <t>ヨウ</t>
    </rPh>
    <phoneticPr fontId="6"/>
  </si>
  <si>
    <t>カラー/サイズ</t>
  </si>
  <si>
    <t>数</t>
  </si>
  <si>
    <t>〃</t>
  </si>
  <si>
    <t>※12時までにFAX注文→在庫有商品は当日出荷。基本メーカー取寄せなので2～3日（要確認）。希望日未記入は毎週木曜出荷なので注意！</t>
    <rPh sb="13" eb="15">
      <t>ザイコ</t>
    </rPh>
    <rPh sb="15" eb="16">
      <t>ア</t>
    </rPh>
    <rPh sb="16" eb="18">
      <t>ショウヒン</t>
    </rPh>
    <rPh sb="19" eb="21">
      <t>トウジツ</t>
    </rPh>
    <rPh sb="21" eb="23">
      <t>シュッカ</t>
    </rPh>
    <rPh sb="24" eb="26">
      <t>キホン</t>
    </rPh>
    <rPh sb="30" eb="32">
      <t>トリヨ</t>
    </rPh>
    <rPh sb="39" eb="40">
      <t>ニチ</t>
    </rPh>
    <rPh sb="41" eb="42">
      <t>ヨウ</t>
    </rPh>
    <rPh sb="42" eb="44">
      <t>カクニン</t>
    </rPh>
    <rPh sb="46" eb="48">
      <t>キボウ</t>
    </rPh>
    <rPh sb="48" eb="49">
      <t>ビ</t>
    </rPh>
    <rPh sb="49" eb="50">
      <t>ミ</t>
    </rPh>
    <rPh sb="50" eb="52">
      <t>キニュウ</t>
    </rPh>
    <rPh sb="53" eb="55">
      <t>マイシュウ</t>
    </rPh>
    <rPh sb="55" eb="57">
      <t>モクヨウ</t>
    </rPh>
    <rPh sb="57" eb="59">
      <t>シュッカ</t>
    </rPh>
    <rPh sb="62" eb="64">
      <t>チュウイ</t>
    </rPh>
    <phoneticPr fontId="3"/>
  </si>
  <si>
    <t>※13:00までのFAX発注→当日出荷、翌日着。（キープ分は15時まで、土曜日は営業無し。）　 ★顧客コード：1509★</t>
    <rPh sb="49" eb="51">
      <t>コキャク</t>
    </rPh>
    <phoneticPr fontId="3"/>
  </si>
  <si>
    <t>※基本3営業日（土日除く）キープ。</t>
    <phoneticPr fontId="6"/>
  </si>
  <si>
    <t>担当：中野さん</t>
    <rPh sb="0" eb="2">
      <t>タントウ</t>
    </rPh>
    <rPh sb="3" eb="5">
      <t>ナカノ</t>
    </rPh>
    <phoneticPr fontId="6"/>
  </si>
  <si>
    <t>廣川株式会社</t>
    <rPh sb="2" eb="6">
      <t>カ</t>
    </rPh>
    <phoneticPr fontId="6"/>
  </si>
  <si>
    <t>※15時までにFAX注文（早め希望）→当日出荷（大阪より）。</t>
    <rPh sb="3" eb="4">
      <t>ジ</t>
    </rPh>
    <rPh sb="10" eb="12">
      <t>チュウモン</t>
    </rPh>
    <rPh sb="13" eb="14">
      <t>ハヤ</t>
    </rPh>
    <rPh sb="15" eb="17">
      <t>キボウ</t>
    </rPh>
    <rPh sb="19" eb="21">
      <t>トウジツ</t>
    </rPh>
    <rPh sb="21" eb="23">
      <t>シュッカ</t>
    </rPh>
    <rPh sb="24" eb="26">
      <t>オオサカ</t>
    </rPh>
    <phoneticPr fontId="6"/>
  </si>
  <si>
    <t>1975-01</t>
    <phoneticPr fontId="47"/>
  </si>
  <si>
    <t>1982-01</t>
    <phoneticPr fontId="47"/>
  </si>
  <si>
    <t>1982-01</t>
    <phoneticPr fontId="47"/>
  </si>
  <si>
    <t>1984-01</t>
    <phoneticPr fontId="47"/>
  </si>
  <si>
    <t>1990-01</t>
    <phoneticPr fontId="47"/>
  </si>
  <si>
    <t>1991-01</t>
    <phoneticPr fontId="47"/>
  </si>
  <si>
    <t>2033-01</t>
    <phoneticPr fontId="47"/>
  </si>
  <si>
    <t>2065-01</t>
    <phoneticPr fontId="47"/>
  </si>
  <si>
    <t>5001-01</t>
    <phoneticPr fontId="47"/>
  </si>
  <si>
    <t>5001-02</t>
    <phoneticPr fontId="47"/>
  </si>
  <si>
    <t>5010-03</t>
    <phoneticPr fontId="47"/>
  </si>
  <si>
    <t>5013-01</t>
    <phoneticPr fontId="47"/>
  </si>
  <si>
    <t>5013-01</t>
    <phoneticPr fontId="47"/>
  </si>
  <si>
    <t>5013-02</t>
    <phoneticPr fontId="47"/>
  </si>
  <si>
    <t>5013-02</t>
    <phoneticPr fontId="47"/>
  </si>
  <si>
    <t>5013-03</t>
    <phoneticPr fontId="47"/>
  </si>
  <si>
    <t>5013-03</t>
    <phoneticPr fontId="47"/>
  </si>
  <si>
    <t>5014-01</t>
    <phoneticPr fontId="47"/>
  </si>
  <si>
    <t>5014-01</t>
    <phoneticPr fontId="47"/>
  </si>
  <si>
    <t>5014-02</t>
    <phoneticPr fontId="47"/>
  </si>
  <si>
    <t>5014-02</t>
    <phoneticPr fontId="47"/>
  </si>
  <si>
    <t>5014-03</t>
    <phoneticPr fontId="47"/>
  </si>
  <si>
    <t>5014-03</t>
    <phoneticPr fontId="47"/>
  </si>
  <si>
    <t>5015-01</t>
    <phoneticPr fontId="47"/>
  </si>
  <si>
    <t>5017-01</t>
    <phoneticPr fontId="47"/>
  </si>
  <si>
    <t>5017-02</t>
    <phoneticPr fontId="47"/>
  </si>
  <si>
    <t>5017-03</t>
    <phoneticPr fontId="47"/>
  </si>
  <si>
    <t>5018-01</t>
    <phoneticPr fontId="47"/>
  </si>
  <si>
    <t>5022-01</t>
    <phoneticPr fontId="47"/>
  </si>
  <si>
    <t>5024-01</t>
    <phoneticPr fontId="47"/>
  </si>
  <si>
    <t>5040-01</t>
    <phoneticPr fontId="47"/>
  </si>
  <si>
    <t>5044-01</t>
    <phoneticPr fontId="47"/>
  </si>
  <si>
    <t>5044-02</t>
    <phoneticPr fontId="47"/>
  </si>
  <si>
    <t>5044-03</t>
    <phoneticPr fontId="47"/>
  </si>
  <si>
    <t>5075-01</t>
    <phoneticPr fontId="47"/>
  </si>
  <si>
    <t>5141-02</t>
    <phoneticPr fontId="47"/>
  </si>
  <si>
    <t>5143-02</t>
    <phoneticPr fontId="47"/>
  </si>
  <si>
    <t>5144-02</t>
    <phoneticPr fontId="47"/>
  </si>
  <si>
    <t>5153-02</t>
    <phoneticPr fontId="47"/>
  </si>
  <si>
    <t>5401-01</t>
    <phoneticPr fontId="47"/>
  </si>
  <si>
    <t>5401-02</t>
    <phoneticPr fontId="47"/>
  </si>
  <si>
    <t>5401-03</t>
    <phoneticPr fontId="47"/>
  </si>
  <si>
    <t>5404-01</t>
    <phoneticPr fontId="47"/>
  </si>
  <si>
    <t>5404-02</t>
    <phoneticPr fontId="47"/>
  </si>
  <si>
    <t>5405-01</t>
    <phoneticPr fontId="47"/>
  </si>
  <si>
    <t>5406-01</t>
    <phoneticPr fontId="47"/>
  </si>
  <si>
    <t>5409-01</t>
    <phoneticPr fontId="47"/>
  </si>
  <si>
    <t>5409-02</t>
    <phoneticPr fontId="47"/>
  </si>
  <si>
    <t>5474-03</t>
    <phoneticPr fontId="47"/>
  </si>
  <si>
    <t>5475-03</t>
    <phoneticPr fontId="47"/>
  </si>
  <si>
    <t>5476-03</t>
    <phoneticPr fontId="47"/>
  </si>
  <si>
    <t>5477-01</t>
    <phoneticPr fontId="47"/>
  </si>
  <si>
    <t>5480-01</t>
    <phoneticPr fontId="47"/>
  </si>
  <si>
    <t>5481-01</t>
    <phoneticPr fontId="47"/>
  </si>
  <si>
    <t>5482-01</t>
    <phoneticPr fontId="47"/>
  </si>
  <si>
    <t>5483-01</t>
    <phoneticPr fontId="47"/>
  </si>
  <si>
    <t>5484-01</t>
    <phoneticPr fontId="47"/>
  </si>
  <si>
    <t>5485-01</t>
    <phoneticPr fontId="47"/>
  </si>
  <si>
    <t>5486-01</t>
    <phoneticPr fontId="47"/>
  </si>
  <si>
    <t>5487-01</t>
    <phoneticPr fontId="47"/>
  </si>
  <si>
    <t>5488-01</t>
    <phoneticPr fontId="47"/>
  </si>
  <si>
    <t>5489-01</t>
    <phoneticPr fontId="47"/>
  </si>
  <si>
    <t>5499-01</t>
    <phoneticPr fontId="47"/>
  </si>
  <si>
    <t>5510-01</t>
    <phoneticPr fontId="47"/>
  </si>
  <si>
    <t>5511-01</t>
    <phoneticPr fontId="47"/>
  </si>
  <si>
    <t>5512-01</t>
    <phoneticPr fontId="47"/>
  </si>
  <si>
    <t>5528-01</t>
    <phoneticPr fontId="47"/>
  </si>
  <si>
    <t>5529-01</t>
    <phoneticPr fontId="47"/>
  </si>
  <si>
    <t>5531-01</t>
    <phoneticPr fontId="47"/>
  </si>
  <si>
    <t>5531-03</t>
    <phoneticPr fontId="47"/>
  </si>
  <si>
    <t>5533-01</t>
    <phoneticPr fontId="47"/>
  </si>
  <si>
    <t>5535-01</t>
    <phoneticPr fontId="47"/>
  </si>
  <si>
    <t>5536-01</t>
    <phoneticPr fontId="47"/>
  </si>
  <si>
    <t>5539-03</t>
    <phoneticPr fontId="47"/>
  </si>
  <si>
    <t>5542-01</t>
    <phoneticPr fontId="47"/>
  </si>
  <si>
    <t>5542-02</t>
    <phoneticPr fontId="47"/>
  </si>
  <si>
    <t>5607-01</t>
    <phoneticPr fontId="47"/>
  </si>
  <si>
    <t>5618-01</t>
    <phoneticPr fontId="47"/>
  </si>
  <si>
    <t>5650-01</t>
    <phoneticPr fontId="47"/>
  </si>
  <si>
    <t>5650-03</t>
    <phoneticPr fontId="47"/>
  </si>
  <si>
    <t>5701-02</t>
    <phoneticPr fontId="47"/>
  </si>
  <si>
    <t>5721-01</t>
    <phoneticPr fontId="47"/>
  </si>
  <si>
    <t>5721-02</t>
    <phoneticPr fontId="47"/>
  </si>
  <si>
    <t>5722-01</t>
    <phoneticPr fontId="47"/>
  </si>
  <si>
    <t>5722-02</t>
    <phoneticPr fontId="47"/>
  </si>
  <si>
    <t>5725-01</t>
    <phoneticPr fontId="47"/>
  </si>
  <si>
    <t>5725-02</t>
    <phoneticPr fontId="47"/>
  </si>
  <si>
    <t>5726-01</t>
    <phoneticPr fontId="47"/>
  </si>
  <si>
    <t>5726-02</t>
    <phoneticPr fontId="47"/>
  </si>
  <si>
    <t>5766-01</t>
    <phoneticPr fontId="47"/>
  </si>
  <si>
    <t>5771-01</t>
    <phoneticPr fontId="47"/>
  </si>
  <si>
    <t>5772-01</t>
    <phoneticPr fontId="47"/>
  </si>
  <si>
    <t>5866-01</t>
    <phoneticPr fontId="47"/>
  </si>
  <si>
    <t>5866-02</t>
    <phoneticPr fontId="47"/>
  </si>
  <si>
    <t>5866-03</t>
    <phoneticPr fontId="47"/>
  </si>
  <si>
    <t>5881-01</t>
    <phoneticPr fontId="47"/>
  </si>
  <si>
    <t>5882-03</t>
    <phoneticPr fontId="47"/>
  </si>
  <si>
    <t>5884-01</t>
    <phoneticPr fontId="47"/>
  </si>
  <si>
    <t>5885-01</t>
    <phoneticPr fontId="47"/>
  </si>
  <si>
    <t>5887-01</t>
    <phoneticPr fontId="47"/>
  </si>
  <si>
    <t>5889-01</t>
    <phoneticPr fontId="47"/>
  </si>
  <si>
    <t>5890-03</t>
    <phoneticPr fontId="47"/>
  </si>
  <si>
    <t>5891-01</t>
    <phoneticPr fontId="47"/>
  </si>
  <si>
    <t>5894-03</t>
    <phoneticPr fontId="47"/>
  </si>
  <si>
    <t>5895-01</t>
    <phoneticPr fontId="47"/>
  </si>
  <si>
    <t>5898-01</t>
    <phoneticPr fontId="47"/>
  </si>
  <si>
    <t>5899-01</t>
    <phoneticPr fontId="47"/>
  </si>
  <si>
    <t>5923-01</t>
    <phoneticPr fontId="47"/>
  </si>
  <si>
    <t>5923-03</t>
    <phoneticPr fontId="47"/>
  </si>
  <si>
    <t>5942-01</t>
    <phoneticPr fontId="47"/>
  </si>
  <si>
    <t>5942-02</t>
    <phoneticPr fontId="47"/>
  </si>
  <si>
    <t>5942-03</t>
    <phoneticPr fontId="47"/>
  </si>
  <si>
    <t>6589-01</t>
    <phoneticPr fontId="47"/>
  </si>
  <si>
    <t>7011-01</t>
    <phoneticPr fontId="47"/>
  </si>
  <si>
    <t>7013-01</t>
    <phoneticPr fontId="47"/>
  </si>
  <si>
    <t>7025-01</t>
    <phoneticPr fontId="47"/>
  </si>
  <si>
    <t>7028-01</t>
    <phoneticPr fontId="47"/>
  </si>
  <si>
    <t>ポリエステルラグランスリーブスタンドジャケット</t>
    <phoneticPr fontId="6"/>
  </si>
  <si>
    <t>7032-01</t>
    <phoneticPr fontId="47"/>
  </si>
  <si>
    <t>7039-01</t>
    <phoneticPr fontId="47"/>
  </si>
  <si>
    <t>7056-01</t>
    <phoneticPr fontId="47"/>
  </si>
  <si>
    <t>7058-01</t>
    <phoneticPr fontId="47"/>
  </si>
  <si>
    <t>7059-01</t>
    <phoneticPr fontId="47"/>
  </si>
  <si>
    <t>7071-01</t>
    <phoneticPr fontId="47"/>
  </si>
  <si>
    <t>8888-01</t>
    <phoneticPr fontId="47"/>
  </si>
  <si>
    <t>9651-01</t>
    <phoneticPr fontId="47"/>
  </si>
  <si>
    <t>9652-01</t>
    <phoneticPr fontId="47"/>
  </si>
  <si>
    <t>9653-01</t>
    <phoneticPr fontId="47"/>
  </si>
  <si>
    <t>9654-01</t>
    <phoneticPr fontId="47"/>
  </si>
  <si>
    <t>1545-01</t>
  </si>
  <si>
    <t>マルチターバン</t>
  </si>
  <si>
    <t>1546-01</t>
  </si>
  <si>
    <t>12.0ozキャンバスワンショルダーバッグ</t>
  </si>
  <si>
    <t>1547-01</t>
  </si>
  <si>
    <t>12.0oz キャンバストートバック</t>
  </si>
  <si>
    <t>1550-01</t>
  </si>
  <si>
    <t xml:space="preserve">13.6オンスキャンバスショッピングバッグ </t>
  </si>
  <si>
    <t>1552-01</t>
  </si>
  <si>
    <t>13.6ozキャンバスメッセンジャーバッグ</t>
  </si>
  <si>
    <t>1553-01</t>
  </si>
  <si>
    <t>13.6oz キャンバスレコードバック</t>
  </si>
  <si>
    <t>1554-01</t>
  </si>
  <si>
    <t>13.6ozキャンバスZIPトートバッグ</t>
  </si>
  <si>
    <t>使用不可5928-01</t>
  </si>
  <si>
    <t>10.3ozT/Cクルーネックスウェット</t>
  </si>
  <si>
    <t>G-1019</t>
    <phoneticPr fontId="6"/>
  </si>
  <si>
    <t>ジンベイ（男女兼用）</t>
    <phoneticPr fontId="6"/>
  </si>
  <si>
    <t>G-1021</t>
    <phoneticPr fontId="6"/>
  </si>
  <si>
    <t>ジンベイ（男女兼用）　G-1021</t>
    <phoneticPr fontId="6"/>
  </si>
  <si>
    <t>スウェットパーカ（ドッグ）</t>
  </si>
  <si>
    <t>プレーンTシャツ（ドッグ）</t>
  </si>
  <si>
    <t>DALUC　ベーシックTシャツ</t>
  </si>
  <si>
    <t>00184-NSH</t>
    <phoneticPr fontId="6"/>
  </si>
  <si>
    <t>スタンダードプルパーカー</t>
    <phoneticPr fontId="6"/>
  </si>
  <si>
    <t>(株)トレードワークス　≪高橋様≫</t>
    <phoneticPr fontId="6"/>
  </si>
  <si>
    <t>ENB-760</t>
  </si>
  <si>
    <t>プラスワン</t>
  </si>
  <si>
    <t>ENN-762</t>
  </si>
  <si>
    <t>EVT</t>
  </si>
  <si>
    <t>イベントTシャツ</t>
  </si>
  <si>
    <t>familyt</t>
  </si>
  <si>
    <t>ファミリーT</t>
  </si>
  <si>
    <t>SB-831T</t>
  </si>
  <si>
    <t>サニーベース ハイグレードTシャツ</t>
  </si>
  <si>
    <t>SB-919T</t>
  </si>
  <si>
    <t>プレミアムＴシャツ</t>
  </si>
  <si>
    <t>TAG-001</t>
  </si>
  <si>
    <t>サイズタグ</t>
  </si>
  <si>
    <t>㈱ゼロ</t>
  </si>
  <si>
    <t>女子スモック　6112</t>
    <phoneticPr fontId="6"/>
  </si>
  <si>
    <t>マイクロファイバースポーツタオル（40x110cm）</t>
  </si>
  <si>
    <t>B-BT</t>
  </si>
  <si>
    <t>バスタオル(Billey)</t>
  </si>
  <si>
    <t>B-FT</t>
  </si>
  <si>
    <t>フェイスタオル(Billey)</t>
  </si>
  <si>
    <t>B-HT</t>
  </si>
  <si>
    <t>ハンドタオル(Billey)</t>
  </si>
  <si>
    <t>F-BT</t>
  </si>
  <si>
    <t>バスタオル(Fan)</t>
  </si>
  <si>
    <t>F-FT</t>
  </si>
  <si>
    <t>フェイスタオル(Fan)</t>
  </si>
  <si>
    <t>F-HT</t>
  </si>
  <si>
    <t>ハンドタオル(Fan)</t>
  </si>
  <si>
    <t>L-BR</t>
  </si>
  <si>
    <t>バスローブ(Lusie)</t>
  </si>
  <si>
    <t>L-SR</t>
  </si>
  <si>
    <t>フード付きシャワーローブ(Lusie)</t>
  </si>
  <si>
    <t>NC-BT</t>
  </si>
  <si>
    <t>バスタオル（NEO　COLOR）</t>
  </si>
  <si>
    <t>NC-FT</t>
  </si>
  <si>
    <t>フェイスタオル（NEO　COLOR）</t>
  </si>
  <si>
    <t>P-BD</t>
  </si>
  <si>
    <t>バスドレス(PopColor)</t>
  </si>
  <si>
    <t>P-BT</t>
  </si>
  <si>
    <t>バスタオル(PopColor)</t>
  </si>
  <si>
    <t>P-FT</t>
  </si>
  <si>
    <t>フェイスタオル(PopColor)</t>
  </si>
  <si>
    <t>P-HT</t>
  </si>
  <si>
    <t>ハンドタオル(PopColor)</t>
  </si>
  <si>
    <t>P-MH</t>
  </si>
  <si>
    <t>ミニハンカチ(PopColor)</t>
  </si>
  <si>
    <t>R-BM</t>
  </si>
  <si>
    <t>バスマット(Revive)</t>
  </si>
  <si>
    <t>R-BT</t>
  </si>
  <si>
    <t>バスタオル(Revive)</t>
  </si>
  <si>
    <t>R-DC</t>
  </si>
  <si>
    <t>ダストクロス(Revive)</t>
  </si>
  <si>
    <t>R-FT</t>
  </si>
  <si>
    <t>フェイスタイオル(Revive)</t>
  </si>
  <si>
    <t>R-HT</t>
  </si>
  <si>
    <t>ハンドタオル(Revive)</t>
  </si>
  <si>
    <t>R-PBM</t>
  </si>
  <si>
    <t>プチバスマット(Revive)</t>
  </si>
  <si>
    <t>R-ST</t>
  </si>
  <si>
    <t>スポーツタオル(Revive)</t>
  </si>
  <si>
    <t>S-BT</t>
  </si>
  <si>
    <t>バスタオル(Sion)</t>
  </si>
  <si>
    <t>S-FT</t>
  </si>
  <si>
    <t>フェイスタオル(Sion)</t>
  </si>
  <si>
    <t>S-HT</t>
  </si>
  <si>
    <t>ハンドタオル(Sion)</t>
  </si>
  <si>
    <t>U-BR</t>
  </si>
  <si>
    <t>バスローブ（Urban）</t>
  </si>
  <si>
    <t>U-BT</t>
  </si>
  <si>
    <t>バスタオル（Urban）</t>
  </si>
  <si>
    <t>U-FT</t>
  </si>
  <si>
    <t>フェイスタオル（Urban）</t>
  </si>
  <si>
    <t>U-HT</t>
  </si>
  <si>
    <t>ハンドタオル（Urban）</t>
  </si>
  <si>
    <t>U-MH</t>
  </si>
  <si>
    <t>ミニハンカチ（Urban）</t>
  </si>
  <si>
    <t>200TM010</t>
  </si>
  <si>
    <t>泉州こだわりタオル　クールマフラー</t>
  </si>
  <si>
    <t>200TM013</t>
  </si>
  <si>
    <t>泉州こだわりタオル　爽快マフラー</t>
  </si>
  <si>
    <t>MF-HT_W</t>
  </si>
  <si>
    <t>マイクロファイバーハンドタオル</t>
  </si>
  <si>
    <t>TNG</t>
  </si>
  <si>
    <t>日本製手ぬぐい</t>
  </si>
  <si>
    <t>廣川</t>
    <phoneticPr fontId="6"/>
  </si>
  <si>
    <t>廣川株式会社</t>
    <phoneticPr fontId="6"/>
  </si>
  <si>
    <t>-</t>
    <phoneticPr fontId="6"/>
  </si>
  <si>
    <t>廣川株式会社</t>
    <phoneticPr fontId="6"/>
  </si>
  <si>
    <t xml:space="preserve"> 〒543-0013　大阪市天王寺区玉造本町8-3（本社）</t>
    <phoneticPr fontId="6"/>
  </si>
  <si>
    <t>06-6768-2011</t>
    <phoneticPr fontId="6"/>
  </si>
  <si>
    <t>作務衣</t>
    <phoneticPr fontId="6"/>
  </si>
  <si>
    <t>※Alt+Enterキーで
改行できます。</t>
    <rPh sb="14" eb="16">
      <t>カイギョウ</t>
    </rPh>
    <phoneticPr fontId="6"/>
  </si>
  <si>
    <t>00186-NSP</t>
    <phoneticPr fontId="6"/>
  </si>
  <si>
    <t>00183-NSC</t>
    <phoneticPr fontId="6"/>
  </si>
  <si>
    <t>00183-NSC</t>
    <phoneticPr fontId="6"/>
  </si>
  <si>
    <t>スタンダードトレーナー</t>
    <phoneticPr fontId="6"/>
  </si>
  <si>
    <t>スタンダードスウェットパンツ</t>
    <phoneticPr fontId="6"/>
  </si>
  <si>
    <t>早め希望</t>
    <rPh sb="0" eb="1">
      <t>ハヤ</t>
    </rPh>
    <rPh sb="2" eb="4">
      <t>キボウ</t>
    </rPh>
    <phoneticPr fontId="6"/>
  </si>
  <si>
    <t>TS-0697</t>
    <phoneticPr fontId="6"/>
  </si>
  <si>
    <t>おむすびパック</t>
    <phoneticPr fontId="6"/>
  </si>
  <si>
    <t>1101-04</t>
    <phoneticPr fontId="6"/>
  </si>
  <si>
    <t>1517-01</t>
    <phoneticPr fontId="6"/>
  </si>
  <si>
    <t>6.9oz トライブレンドショートスリーブスウェット</t>
    <phoneticPr fontId="6"/>
  </si>
  <si>
    <t>10.0ozスウェットランチバッグ（パイル）</t>
    <phoneticPr fontId="6"/>
  </si>
  <si>
    <t>加工場直送⇒</t>
  </si>
  <si>
    <t>プラスワンインターナショナル</t>
  </si>
  <si>
    <t>(株)トランスアート</t>
  </si>
  <si>
    <t>(有)眞鍋　　</t>
  </si>
  <si>
    <t>廣川株式会社</t>
  </si>
  <si>
    <t>(株)ジャスト</t>
  </si>
  <si>
    <t>エースプリント(株)</t>
    <phoneticPr fontId="6"/>
  </si>
  <si>
    <t>※注意！赤文字↓が正しい加工場です！※</t>
    <rPh sb="1" eb="3">
      <t>チュウイ</t>
    </rPh>
    <rPh sb="4" eb="5">
      <t>アカ</t>
    </rPh>
    <rPh sb="5" eb="7">
      <t>モジ</t>
    </rPh>
    <rPh sb="9" eb="10">
      <t>タダ</t>
    </rPh>
    <rPh sb="12" eb="14">
      <t>カコウ</t>
    </rPh>
    <rPh sb="14" eb="15">
      <t>バ</t>
    </rPh>
    <phoneticPr fontId="6"/>
  </si>
  <si>
    <t>計　　枚</t>
    <rPh sb="0" eb="1">
      <t>ケイ</t>
    </rPh>
    <rPh sb="3" eb="4">
      <t>マイ</t>
    </rPh>
    <phoneticPr fontId="6"/>
  </si>
  <si>
    <t>※商品コードを入力すると、
商品名は自動で出ます。</t>
    <rPh sb="1" eb="3">
      <t>ショウヒン</t>
    </rPh>
    <rPh sb="7" eb="9">
      <t>ニュウリョク</t>
    </rPh>
    <rPh sb="14" eb="17">
      <t>ショウヒンメイ</t>
    </rPh>
    <rPh sb="18" eb="20">
      <t>ジドウ</t>
    </rPh>
    <rPh sb="21" eb="22">
      <t>デ</t>
    </rPh>
    <phoneticPr fontId="6"/>
  </si>
  <si>
    <t>※全メーカー、リストで選べます。</t>
    <rPh sb="1" eb="2">
      <t>ゼン</t>
    </rPh>
    <rPh sb="11" eb="12">
      <t>エラ</t>
    </rPh>
    <phoneticPr fontId="6"/>
  </si>
  <si>
    <t>※シルクorその他加工、リストで
事前に選択して下さい。</t>
    <rPh sb="8" eb="9">
      <t>タ</t>
    </rPh>
    <rPh sb="9" eb="11">
      <t>カコウ</t>
    </rPh>
    <rPh sb="17" eb="19">
      <t>ジゼン</t>
    </rPh>
    <rPh sb="20" eb="22">
      <t>センタク</t>
    </rPh>
    <rPh sb="24" eb="25">
      <t>クダ</t>
    </rPh>
    <phoneticPr fontId="6"/>
  </si>
  <si>
    <t>T-62</t>
    <phoneticPr fontId="6"/>
  </si>
  <si>
    <t>エプロン　T-62</t>
    <phoneticPr fontId="6"/>
  </si>
  <si>
    <t>1033-04</t>
  </si>
  <si>
    <t>1033-04</t>
    <phoneticPr fontId="6"/>
  </si>
  <si>
    <t>4.1ozTシャツ</t>
    <phoneticPr fontId="6"/>
  </si>
  <si>
    <t>1054-04</t>
  </si>
  <si>
    <t>1054-04</t>
    <phoneticPr fontId="6"/>
  </si>
  <si>
    <t>4.1ozドルマンスリーブTシャツ</t>
    <phoneticPr fontId="6"/>
  </si>
  <si>
    <t>TR-0562</t>
    <phoneticPr fontId="6"/>
  </si>
  <si>
    <t>ポリキャンバストート（M）</t>
    <phoneticPr fontId="6"/>
  </si>
  <si>
    <t>GA-0001～5</t>
    <phoneticPr fontId="6"/>
  </si>
  <si>
    <t>1256-01</t>
    <phoneticPr fontId="6"/>
  </si>
  <si>
    <t>9.0ozトライブレンドスウェットショーツ</t>
    <phoneticPr fontId="6"/>
  </si>
  <si>
    <t>DN-7467</t>
    <phoneticPr fontId="6"/>
  </si>
  <si>
    <t>DN-7467</t>
    <phoneticPr fontId="6"/>
  </si>
  <si>
    <t>エプロン（女性用）</t>
    <phoneticPr fontId="6"/>
  </si>
  <si>
    <t>00084-BDT</t>
    <phoneticPr fontId="6"/>
  </si>
  <si>
    <t>00725-ECR</t>
    <phoneticPr fontId="6"/>
  </si>
  <si>
    <t>00725-ECR</t>
    <phoneticPr fontId="6"/>
  </si>
  <si>
    <t>00084-BDT</t>
    <phoneticPr fontId="6"/>
  </si>
  <si>
    <t>スタンダードTシャツ</t>
    <phoneticPr fontId="6"/>
  </si>
  <si>
    <t>エコツイルキャップ</t>
    <phoneticPr fontId="6"/>
  </si>
  <si>
    <t>お客様名：</t>
    <rPh sb="1" eb="3">
      <t>キャクサマ</t>
    </rPh>
    <rPh sb="3" eb="4">
      <t>メイ</t>
    </rPh>
    <phoneticPr fontId="6"/>
  </si>
  <si>
    <t>(株)モリ・フロッキー</t>
    <phoneticPr fontId="6"/>
  </si>
  <si>
    <t/>
  </si>
  <si>
    <t>178-NCP</t>
    <phoneticPr fontId="6"/>
  </si>
  <si>
    <t>杢グレー</t>
    <rPh sb="0" eb="1">
      <t>モク</t>
    </rPh>
    <phoneticPr fontId="6"/>
  </si>
  <si>
    <t>M</t>
    <phoneticPr fontId="6"/>
  </si>
  <si>
    <t>XL</t>
    <phoneticPr fontId="6"/>
  </si>
  <si>
    <t>●●</t>
    <phoneticPr fontId="6"/>
  </si>
  <si>
    <t>様</t>
    <rPh sb="0" eb="1">
      <t>サマ</t>
    </rPh>
    <phoneticPr fontId="6"/>
  </si>
  <si>
    <t>FMP-2570</t>
    <phoneticPr fontId="6"/>
  </si>
  <si>
    <t>スリムフライポロシャツ（メンズ）</t>
    <phoneticPr fontId="6"/>
  </si>
  <si>
    <t>7.1ozTシャツ（オープンエンドヤーン）</t>
    <phoneticPr fontId="6"/>
  </si>
  <si>
    <t>4252-01</t>
    <phoneticPr fontId="6"/>
  </si>
  <si>
    <t>AS-6021</t>
    <phoneticPr fontId="6"/>
  </si>
  <si>
    <t>AS-6021</t>
    <phoneticPr fontId="6"/>
  </si>
  <si>
    <t>コックシャツ【男女兼用】AS-6021</t>
    <phoneticPr fontId="6"/>
  </si>
  <si>
    <t>【</t>
    <phoneticPr fontId="11"/>
  </si>
  <si>
    <t>㈱プラスワンインターナショナル
（FAX：087-8６6-8288）</t>
    <phoneticPr fontId="11"/>
  </si>
  <si>
    <t>キープNo.</t>
    <phoneticPr fontId="11"/>
  </si>
  <si>
    <t>キープ</t>
    <phoneticPr fontId="11"/>
  </si>
  <si>
    <t>キャンセル</t>
    <phoneticPr fontId="11"/>
  </si>
  <si>
    <t xml:space="preserve"> □ 取り揃い次第、まとめて発送して下さい→　発送予定日お知らせ下さい</t>
    <phoneticPr fontId="11"/>
  </si>
  <si>
    <t>7.0oz ラグランジャージ</t>
  </si>
  <si>
    <t>カーゴパンツ</t>
  </si>
  <si>
    <t>ツイルベスト(withコンビネーション)</t>
  </si>
  <si>
    <t>1001-04</t>
  </si>
  <si>
    <t>3.8ozラウンドネックTシャツ</t>
  </si>
  <si>
    <t>1003-04</t>
  </si>
  <si>
    <t>3.8ozチュニックTシャツ</t>
  </si>
  <si>
    <t>1006-04</t>
  </si>
  <si>
    <t>ドルマンスリーブTシャツ</t>
  </si>
  <si>
    <t>1008-04</t>
  </si>
  <si>
    <t>ラウンドネックTシャツ</t>
  </si>
  <si>
    <t>1015-04</t>
  </si>
  <si>
    <t>3.8ozロングスリーブチュニック</t>
  </si>
  <si>
    <t>1016-04</t>
  </si>
  <si>
    <t>3.8ozロングスリーブTシャツ</t>
  </si>
  <si>
    <t>1017-03</t>
  </si>
  <si>
    <t>3.8ozナローロングスリーブTシャツ</t>
  </si>
  <si>
    <t>1018-04</t>
  </si>
  <si>
    <t>3.8oz3/4スリーブTシャツ</t>
  </si>
  <si>
    <t>1021-04</t>
  </si>
  <si>
    <t>5.9ozスウェットロングレングスジップパーカ</t>
  </si>
  <si>
    <t>1027-04</t>
  </si>
  <si>
    <t>3.8oz サイドテールタンクトップ</t>
  </si>
  <si>
    <t>1030-01</t>
  </si>
  <si>
    <t>ボクサーパンツ</t>
  </si>
  <si>
    <t>4.7oz ＵネックロングスリーブＴシャツ</t>
  </si>
  <si>
    <t>1041-01</t>
  </si>
  <si>
    <t>4.1オンスシャドーボーダーロングスリーブTシャツ</t>
  </si>
  <si>
    <t>1047-04</t>
  </si>
  <si>
    <t>3.8ozラウンドネックAラインチュニック</t>
  </si>
  <si>
    <t>1048-01</t>
  </si>
  <si>
    <t>3.8ozフレンチスリーブチュニック</t>
  </si>
  <si>
    <t>1050-01</t>
  </si>
  <si>
    <t>5.6オンスタンクトップ</t>
  </si>
  <si>
    <t>1053-01</t>
  </si>
  <si>
    <t>7.4ozマッスルタンクトップ</t>
  </si>
  <si>
    <t>1081-01</t>
  </si>
  <si>
    <t>7.9ozヴィンテージパイルフルジップパーカ</t>
  </si>
  <si>
    <t>1082-01</t>
  </si>
  <si>
    <t>7.9ozヴィンテージパイルプルオーバーパーカー</t>
  </si>
  <si>
    <t>1083-01</t>
  </si>
  <si>
    <t>7.9ozヴィンテージパイルクルーネックスウェット</t>
  </si>
  <si>
    <t>1087-01</t>
  </si>
  <si>
    <t>8.5オンスネオヴィンテージクルーネックスウェット</t>
  </si>
  <si>
    <t>1090-01</t>
  </si>
  <si>
    <t>4.4ozトライブレンドTシャツ</t>
  </si>
  <si>
    <t>1091-01</t>
  </si>
  <si>
    <t>4.4オンス　トライブレンドオングスリーブTシャツ</t>
  </si>
  <si>
    <t>1092-01</t>
  </si>
  <si>
    <t>4.4ozトライブレンドラグラン3/4スリーブTシャツ</t>
  </si>
  <si>
    <t>1796-03</t>
  </si>
  <si>
    <t>5.3ozドライジャージスタンドカラージャケット（ガールズ）</t>
  </si>
  <si>
    <t>1797-01</t>
  </si>
  <si>
    <t>5.3ozジャージ ロングパンツ</t>
  </si>
  <si>
    <t>1797-03</t>
  </si>
  <si>
    <t>5.3ozジャージロングパンツ (ガールズ)</t>
  </si>
  <si>
    <t>10.3oz.パイルスウェットパンツ</t>
  </si>
  <si>
    <t>AS-6205</t>
  </si>
  <si>
    <t>コックコート（半袖）【男女兼用】</t>
  </si>
  <si>
    <t>AS-7119</t>
  </si>
  <si>
    <t>ニットベスト【レディース】</t>
  </si>
  <si>
    <t>BC-6934</t>
  </si>
  <si>
    <t>ノータックパンツ（男性用）　BC-6934</t>
  </si>
  <si>
    <t>AS-7340</t>
  </si>
  <si>
    <t>カットソー【男女兼用】AS-7340</t>
  </si>
  <si>
    <t>T-7351</t>
  </si>
  <si>
    <t>ショートエプロン　T-7351</t>
  </si>
  <si>
    <t>MB-6448</t>
  </si>
  <si>
    <t>コート（男女兼用）　MB-6448</t>
  </si>
  <si>
    <t>DN-6745</t>
  </si>
  <si>
    <t>鯉口シャツ【男女兼用】DN-6745</t>
  </si>
  <si>
    <t>DN-7331</t>
  </si>
  <si>
    <t>ワンピース　DN-7331</t>
  </si>
  <si>
    <t>DN-7465</t>
  </si>
  <si>
    <t>エプロンドレス　DN-7465</t>
  </si>
  <si>
    <t>G-5228</t>
  </si>
  <si>
    <t>ジンベイ（男女兼用）　G-5228</t>
  </si>
  <si>
    <t>ツナギ服</t>
  </si>
  <si>
    <t>半袖ツナギ服</t>
  </si>
  <si>
    <t>襟付きツナギ服</t>
  </si>
  <si>
    <t>T/Cツナギ服</t>
  </si>
  <si>
    <t>脇メッシュT/Cツナギ服</t>
  </si>
  <si>
    <t>T/C半袖ツナギ服</t>
  </si>
  <si>
    <t>P-100</t>
  </si>
  <si>
    <t>コットンヘビーウェイトTシャツ</t>
  </si>
  <si>
    <t>P-1000</t>
  </si>
  <si>
    <t>マルチジャケット</t>
  </si>
  <si>
    <t>P-110</t>
  </si>
  <si>
    <t>ポリエステルドライＴシャツ</t>
  </si>
  <si>
    <t>P-115</t>
  </si>
  <si>
    <t>ポリエステル　ドライポロシャツ</t>
  </si>
  <si>
    <t>P-118</t>
  </si>
  <si>
    <t>ドライ長袖ポロシャツ</t>
  </si>
  <si>
    <t>P-1500</t>
  </si>
  <si>
    <t>トレーニングハーフパンツ</t>
  </si>
  <si>
    <t>P-175</t>
  </si>
  <si>
    <t>ポリエステルドライ長袖Tシャツ</t>
  </si>
  <si>
    <t>P-200</t>
  </si>
  <si>
    <t>フォーティーダブルTシャツ</t>
  </si>
  <si>
    <t>P-2000</t>
  </si>
  <si>
    <t>パイピングトレーニングシャツ</t>
  </si>
  <si>
    <t>P-2050</t>
  </si>
  <si>
    <t>パイピングトレーニングパンツ</t>
  </si>
  <si>
    <t>P-2080</t>
  </si>
  <si>
    <t>パイピングハーフパンツ</t>
  </si>
  <si>
    <t>P-2100</t>
  </si>
  <si>
    <t>ラグラン切替トレーニングシャツ</t>
  </si>
  <si>
    <t>P-2150</t>
  </si>
  <si>
    <t>サイドラインストレートパンツ</t>
  </si>
  <si>
    <t>P-220</t>
  </si>
  <si>
    <t>T/CハニカムメッシュドライTシャツ</t>
  </si>
  <si>
    <t>P-2200</t>
  </si>
  <si>
    <t>トレーニングシャツ</t>
  </si>
  <si>
    <t>P-230</t>
  </si>
  <si>
    <t>T/Cハニカムメシュ　ドライVネックＴシャツ</t>
  </si>
  <si>
    <t>P-2450</t>
  </si>
  <si>
    <t>トレーニングパンツ</t>
  </si>
  <si>
    <t>P-250</t>
  </si>
  <si>
    <t>T/Cハニカムメッシュドライ長袖Ｔシャツ</t>
  </si>
  <si>
    <t>P-2600</t>
  </si>
  <si>
    <t>ダブルライントレーニングシャツ</t>
  </si>
  <si>
    <t>P-281</t>
  </si>
  <si>
    <t>W/FドライＴシャツ</t>
  </si>
  <si>
    <t>P-290</t>
  </si>
  <si>
    <t>ポリエステルW/FドライVネックTシャツ</t>
  </si>
  <si>
    <t>P-291</t>
  </si>
  <si>
    <t>W/FドライVネックTシャツ</t>
  </si>
  <si>
    <t>P-330</t>
  </si>
  <si>
    <t>ドライライトTシャツ</t>
  </si>
  <si>
    <t>P-335</t>
  </si>
  <si>
    <t>ドライライトポロシャツ</t>
  </si>
  <si>
    <t>P-3850</t>
  </si>
  <si>
    <t>T/Cドライスウェットパンツ</t>
  </si>
  <si>
    <t>P-390</t>
  </si>
  <si>
    <t>ドライライトVネックTシャツ</t>
  </si>
  <si>
    <t>P-5000</t>
  </si>
  <si>
    <t>ウインドブレーカジャケット</t>
  </si>
  <si>
    <t>P-503</t>
  </si>
  <si>
    <t>コットンシルケットポロシャツ</t>
  </si>
  <si>
    <t>P-5050</t>
  </si>
  <si>
    <t>ウインドブレーカパンツ</t>
  </si>
  <si>
    <t>P-6200</t>
  </si>
  <si>
    <t>ウインドブレーカージャケット</t>
  </si>
  <si>
    <t>P-6250</t>
  </si>
  <si>
    <t>ウインドブレーカーパンツ</t>
  </si>
  <si>
    <t>P-6400</t>
  </si>
  <si>
    <t>FLORIDAWINDアクティブジャケット</t>
  </si>
  <si>
    <t>P-770</t>
  </si>
  <si>
    <t>T/Cドライポロシャツ</t>
  </si>
  <si>
    <t>P-8000</t>
  </si>
  <si>
    <t>サッカーパンツ</t>
  </si>
  <si>
    <t>P-8001</t>
  </si>
  <si>
    <t>FLORIDAWINDサッカーパンツ</t>
  </si>
  <si>
    <t>P-950</t>
  </si>
  <si>
    <t>サニースウェット長袖Ｔシャツ</t>
  </si>
  <si>
    <t>P-9900</t>
  </si>
  <si>
    <t>レディーストレーニングシャツ</t>
  </si>
  <si>
    <t>P-9950</t>
  </si>
  <si>
    <t>レディーストレーニングパンツ</t>
  </si>
  <si>
    <t>ウルトラコットンロングスリーブTシャツ</t>
  </si>
  <si>
    <t>2400B</t>
  </si>
  <si>
    <t>ウルトラコットンユースロングスリーブTシャツ</t>
  </si>
  <si>
    <t>ウルトラブレンドスウェットパンツ</t>
  </si>
  <si>
    <t>クルーネックスウェットトレーナー（裏起毛）</t>
  </si>
  <si>
    <t>18000B</t>
  </si>
  <si>
    <t>クルーネックスウェットトレーナー（裏起毛） キッズ</t>
  </si>
  <si>
    <t>7.75ozフード付きスウェットパーカー（裏起毛）</t>
  </si>
  <si>
    <t>18500B</t>
  </si>
  <si>
    <t>7.75ozフード付きスウェットパーカー（裏起毛）/キッズ</t>
  </si>
  <si>
    <t>7.75ozフード付きジップパーカー（裏起毛）</t>
  </si>
  <si>
    <t>18600B</t>
  </si>
  <si>
    <t>7.75ozフード付きジップパーカー（裏起毛） キッズ</t>
  </si>
  <si>
    <t>6.1ozウルトラコットンTシャツ</t>
  </si>
  <si>
    <t>2000B</t>
  </si>
  <si>
    <t>ウルトラコットン6.1ozTシャツ（ユース）</t>
  </si>
  <si>
    <t>725-ECR</t>
  </si>
  <si>
    <t>エコツイルキャップ</t>
  </si>
  <si>
    <t>726-ECC</t>
  </si>
  <si>
    <t>エコクラブキャップ</t>
  </si>
  <si>
    <t>508-CMB</t>
  </si>
  <si>
    <t>カジュアルバッグM</t>
  </si>
  <si>
    <t>509-CLB</t>
  </si>
  <si>
    <t>カジュアルバッグL</t>
  </si>
  <si>
    <t>510-NCB</t>
  </si>
  <si>
    <t>ナチュラルコットンバッグM</t>
  </si>
  <si>
    <t>511-TMB</t>
  </si>
  <si>
    <t>トートバッグM</t>
  </si>
  <si>
    <t>512-TLB</t>
  </si>
  <si>
    <t>トートバッグL</t>
  </si>
  <si>
    <t>116-LSV</t>
  </si>
  <si>
    <t>スーパーヘビーウェイト長袖 Tシャツ</t>
  </si>
  <si>
    <t>118-HMT</t>
  </si>
  <si>
    <t>ハニカムメッシュ Tシャツ</t>
  </si>
  <si>
    <t>120-BAP</t>
  </si>
  <si>
    <t>ベーシックエプロン</t>
  </si>
  <si>
    <t>122-MJL</t>
  </si>
  <si>
    <t>ジャージー長袖Ｔシャツ</t>
  </si>
  <si>
    <t>131-WLT</t>
  </si>
  <si>
    <t>ジャージ 長袖 Tシャツ</t>
  </si>
  <si>
    <t>137-RSS</t>
  </si>
  <si>
    <t>ラグラン Tシャツ</t>
  </si>
  <si>
    <t>138-RBB</t>
  </si>
  <si>
    <t>ラグランベースボール Tシャツ</t>
  </si>
  <si>
    <t>139-RLS</t>
  </si>
  <si>
    <t>ラグラン長袖 Tシャツ</t>
  </si>
  <si>
    <t>141-NVP</t>
  </si>
  <si>
    <t>T/C ポロシャツ(ポケットなし)</t>
  </si>
  <si>
    <t>142-BAT</t>
  </si>
  <si>
    <t>ベーシック Tシャツ</t>
  </si>
  <si>
    <t>150-EBP</t>
  </si>
  <si>
    <t>エコベーシックエプロン</t>
  </si>
  <si>
    <t>156-MRT</t>
  </si>
  <si>
    <t>リンガー Tシャツ</t>
  </si>
  <si>
    <t>157-MTP</t>
  </si>
  <si>
    <t>タンクトップ(JELLAN)</t>
  </si>
  <si>
    <t>160-WCN</t>
  </si>
  <si>
    <t>リブクルーネックTシャツ</t>
  </si>
  <si>
    <t>161-WRT</t>
  </si>
  <si>
    <t>リブリンガーＴシャツ</t>
  </si>
  <si>
    <t>162-WCS</t>
  </si>
  <si>
    <t>リブカップスリーブ Tシャツ</t>
  </si>
  <si>
    <t>163-WTP</t>
  </si>
  <si>
    <t>リブタンクトップ</t>
  </si>
  <si>
    <t>164-WCM</t>
  </si>
  <si>
    <t>リブキャミソール</t>
  </si>
  <si>
    <t>165-WLC</t>
  </si>
  <si>
    <t>レディースリブ長袖 Tシャツ</t>
  </si>
  <si>
    <t>166-WQS</t>
  </si>
  <si>
    <t>3/4リブラグランＴシャツ</t>
  </si>
  <si>
    <t>167-WJT</t>
  </si>
  <si>
    <t>ジャージィークルーネックＴシャツ</t>
  </si>
  <si>
    <t>169-VLP</t>
  </si>
  <si>
    <t>T/C 長袖ポロシャツ(ポケット付)</t>
  </si>
  <si>
    <t>170-MST</t>
  </si>
  <si>
    <t>スーパーヘビートレーナー</t>
  </si>
  <si>
    <t>171-MSH</t>
  </si>
  <si>
    <t>スーパーヘビープルパーカー</t>
  </si>
  <si>
    <t>172-MSZ</t>
  </si>
  <si>
    <t>スーパーヘビージップパーカー</t>
  </si>
  <si>
    <t>173-WJZ</t>
  </si>
  <si>
    <t>ジャージィジップパーカー</t>
  </si>
  <si>
    <t>174-WJJ</t>
  </si>
  <si>
    <t>ジャージ ジップジャケット</t>
  </si>
  <si>
    <t>176-NCH</t>
  </si>
  <si>
    <t>スウェットパーカー(裏毛)</t>
  </si>
  <si>
    <t>177-NCZ</t>
  </si>
  <si>
    <t>スウェットジップパーカー（裏毛）</t>
  </si>
  <si>
    <t>178-NCP</t>
  </si>
  <si>
    <t>スウェットパンツ</t>
  </si>
  <si>
    <t>179-MTT</t>
  </si>
  <si>
    <t>トリムタンクトップ</t>
  </si>
  <si>
    <t>180-MPL</t>
  </si>
  <si>
    <t>ジャージィーポロシャツ</t>
  </si>
  <si>
    <t>181-MHT</t>
  </si>
  <si>
    <t>3/4ホッケーTシャツ</t>
  </si>
  <si>
    <t>188-CT</t>
  </si>
  <si>
    <t>カジュアルトレーナー(裏起毛)</t>
  </si>
  <si>
    <t>190-GPP</t>
  </si>
  <si>
    <t>グリマーポロシャツ</t>
  </si>
  <si>
    <t>191-BLP</t>
  </si>
  <si>
    <t>ベーシックラインポロシャツ</t>
  </si>
  <si>
    <t>192-BCP</t>
  </si>
  <si>
    <t>ベーシッククレリックポロシャツ</t>
  </si>
  <si>
    <t>193-CP</t>
  </si>
  <si>
    <t>カジュアルポロシャツ</t>
  </si>
  <si>
    <t>200-BSR</t>
  </si>
  <si>
    <t>ベビーショートロンパース</t>
  </si>
  <si>
    <t>201-BST</t>
  </si>
  <si>
    <t>ベビーＴシャツ</t>
  </si>
  <si>
    <t>221-JP</t>
  </si>
  <si>
    <t>日本製ポロシャツ(ポケット付)</t>
  </si>
  <si>
    <t>222-JLP</t>
  </si>
  <si>
    <t>日本製長袖ポロシャツ(ポケット付)</t>
  </si>
  <si>
    <t>019-GMT</t>
  </si>
  <si>
    <t>グリマーメッシュTシャツ</t>
  </si>
  <si>
    <t>021-NCS</t>
  </si>
  <si>
    <t>カジュアルスウェット(裏毛)</t>
  </si>
  <si>
    <t>022-WMC</t>
  </si>
  <si>
    <t>ホワイトメッシュキャップ</t>
  </si>
  <si>
    <t>023-CLC</t>
  </si>
  <si>
    <t>クラブキャップ</t>
  </si>
  <si>
    <t>032-NGC</t>
  </si>
  <si>
    <t>イベントコート</t>
  </si>
  <si>
    <t>033-AC</t>
  </si>
  <si>
    <t>アクティブコート</t>
  </si>
  <si>
    <t>051-ET</t>
  </si>
  <si>
    <t>イベントブルゾン</t>
  </si>
  <si>
    <t>053-TC</t>
  </si>
  <si>
    <t>パステルブルゾン</t>
  </si>
  <si>
    <t>054-NT</t>
  </si>
  <si>
    <t>アベニューブルゾン</t>
  </si>
  <si>
    <t>058-SS</t>
  </si>
  <si>
    <t>サテンスタジャン</t>
  </si>
  <si>
    <t>060-BC</t>
  </si>
  <si>
    <t>ベンチコート</t>
  </si>
  <si>
    <t>061-RSJ</t>
  </si>
  <si>
    <t>リフレクスポーツジャケット</t>
  </si>
  <si>
    <t>064-AET</t>
  </si>
  <si>
    <t>中綿入りイベントブルゾン</t>
  </si>
  <si>
    <t>066-GCT</t>
  </si>
  <si>
    <t>ウィンドブレーカー</t>
  </si>
  <si>
    <t>068-RSV</t>
  </si>
  <si>
    <t>リフレクスポーツベスト</t>
  </si>
  <si>
    <t>069-AP</t>
  </si>
  <si>
    <t>アクティブパーカー</t>
  </si>
  <si>
    <t>070-LBC</t>
  </si>
  <si>
    <t>ライトベンチコート</t>
  </si>
  <si>
    <t>072-OJ</t>
  </si>
  <si>
    <t>アウトドアジャケット</t>
  </si>
  <si>
    <t>076-JT</t>
  </si>
  <si>
    <t>日本製Ｔシャツ</t>
  </si>
  <si>
    <t>081-CST</t>
  </si>
  <si>
    <t>082-BCT</t>
  </si>
  <si>
    <t>エアリーTシャツ</t>
  </si>
  <si>
    <t>085-CVT</t>
  </si>
  <si>
    <t>ヘビーウェイト Tシャツ</t>
  </si>
  <si>
    <t>092-MJT</t>
  </si>
  <si>
    <t>ジャージーＴシャツ</t>
  </si>
  <si>
    <t>093-LMJ</t>
  </si>
  <si>
    <t>ジャージーロングスリーブTシャツ</t>
  </si>
  <si>
    <t>098-FW</t>
  </si>
  <si>
    <t>フードインウィンドブレーカー</t>
  </si>
  <si>
    <t>099-CH</t>
  </si>
  <si>
    <t>カジュアルパーカー</t>
  </si>
  <si>
    <t>100-VP</t>
  </si>
  <si>
    <t>T/C ポロシャツ(ポケット付)</t>
  </si>
  <si>
    <t>101-LVC</t>
  </si>
  <si>
    <t>ヘビーウェイト長袖 Tシャツ</t>
  </si>
  <si>
    <t>104-EGC</t>
  </si>
  <si>
    <t>エコグランドコート</t>
  </si>
  <si>
    <t>105-ECT</t>
  </si>
  <si>
    <t>エコイベントブルゾン</t>
  </si>
  <si>
    <t>106-EC</t>
  </si>
  <si>
    <t>ストレッチキャップ</t>
  </si>
  <si>
    <t>1070-01</t>
  </si>
  <si>
    <t>シャンブレーロングスリーブシャツ</t>
  </si>
  <si>
    <t>1071-01</t>
  </si>
  <si>
    <t>シャンブレーショートスリーブシャツ</t>
  </si>
  <si>
    <t>1079-01</t>
  </si>
  <si>
    <t>スウェットネオヴィンテージS/Sフルジップパーカー</t>
  </si>
  <si>
    <t>107-MJC</t>
  </si>
  <si>
    <t>メジャーキャップ</t>
  </si>
  <si>
    <t>110-EMC</t>
  </si>
  <si>
    <t>エコメッシュキャップ</t>
  </si>
  <si>
    <t>111-ECP</t>
  </si>
  <si>
    <t>エコキャップ</t>
  </si>
  <si>
    <t>00007-BBS</t>
  </si>
  <si>
    <t>メッシュビブス</t>
  </si>
  <si>
    <t>00034-OGT</t>
  </si>
  <si>
    <t>オーガニックコットンTシャツ</t>
  </si>
  <si>
    <t>00048-AJ</t>
  </si>
  <si>
    <t>アクティブジャケット</t>
  </si>
  <si>
    <t>00049-FC</t>
  </si>
  <si>
    <t>フードインコート</t>
  </si>
  <si>
    <t>00052-ETM</t>
  </si>
  <si>
    <t>イベントジャンパー</t>
  </si>
  <si>
    <t>00083-BBT</t>
  </si>
  <si>
    <t>ライトウェイトTシャツ</t>
  </si>
  <si>
    <t>00112-CZ</t>
  </si>
  <si>
    <t>カジュアルジップパーカー</t>
  </si>
  <si>
    <t>00182-CJK</t>
  </si>
  <si>
    <t>カジュアルトラックジャケット</t>
  </si>
  <si>
    <t>00185-NSZ</t>
  </si>
  <si>
    <t>スタンダードジップパーカー</t>
  </si>
  <si>
    <t>00195-BYP</t>
  </si>
  <si>
    <t>ベーシックレイヤードポロシャツ</t>
  </si>
  <si>
    <t>00197-BDP</t>
  </si>
  <si>
    <t>ボタンダウンポロシャツ</t>
  </si>
  <si>
    <t>001-NFC</t>
  </si>
  <si>
    <t>アクティブグランドコート</t>
  </si>
  <si>
    <t>00202-BLR</t>
  </si>
  <si>
    <t>ベビーロングロンパース</t>
  </si>
  <si>
    <t>00203-BLT</t>
  </si>
  <si>
    <t>ベビーロングスリーブTシャツ</t>
  </si>
  <si>
    <t>00204-BRB</t>
  </si>
  <si>
    <t>ベビーラグランベースボールTシャツ</t>
  </si>
  <si>
    <t>00205-BJZ</t>
  </si>
  <si>
    <t>ベビージャージィージップパーカー</t>
  </si>
  <si>
    <t>00206-SVP</t>
  </si>
  <si>
    <t>スーパーヘビーショートパンツ</t>
  </si>
  <si>
    <t>00209-MJZ</t>
  </si>
  <si>
    <t>ジャージィージップパーカー</t>
  </si>
  <si>
    <t>00212-MCP</t>
  </si>
  <si>
    <t>コットンポロシャツ</t>
  </si>
  <si>
    <t>00213-TRJ</t>
  </si>
  <si>
    <t>トレーニングジャケット</t>
  </si>
  <si>
    <t>00214-TRP</t>
  </si>
  <si>
    <t>00215-EH</t>
  </si>
  <si>
    <t>イベントハッピ</t>
  </si>
  <si>
    <t>00216-MLH</t>
  </si>
  <si>
    <t>フーデッドライトパーカー</t>
  </si>
  <si>
    <t>00217-MLZ</t>
  </si>
  <si>
    <t>ジップアップライトパーカー</t>
  </si>
  <si>
    <t>00218-MLP</t>
  </si>
  <si>
    <t>ライトスウエットパンツ</t>
  </si>
  <si>
    <t>00250-ECV</t>
  </si>
  <si>
    <t>エコベスト</t>
  </si>
  <si>
    <t>00251-ECJ</t>
  </si>
  <si>
    <t>エコジャケット</t>
  </si>
  <si>
    <t>00252-ECW</t>
  </si>
  <si>
    <t>エコウィンドブレーカー</t>
  </si>
  <si>
    <t>00270-ECA</t>
  </si>
  <si>
    <t>エコツイルエプロン</t>
  </si>
  <si>
    <t>002-SJ</t>
  </si>
  <si>
    <t>スポーツジャケット</t>
  </si>
  <si>
    <t>00300-ACT</t>
  </si>
  <si>
    <t>ドライTシャツ</t>
  </si>
  <si>
    <t>00301-ACW</t>
  </si>
  <si>
    <t>ドライTシャツ（Women’s）</t>
  </si>
  <si>
    <t>00302-ADP</t>
  </si>
  <si>
    <t>ドライポロシャツ</t>
  </si>
  <si>
    <t>00303-ANT</t>
  </si>
  <si>
    <t>ドライスリーブレスVネック</t>
  </si>
  <si>
    <t>00304-ALT</t>
  </si>
  <si>
    <t>ドライロングスリーブTシャツ</t>
  </si>
  <si>
    <t>00305-AST</t>
  </si>
  <si>
    <t>アクティブTシャツ</t>
  </si>
  <si>
    <t>00306-ART</t>
  </si>
  <si>
    <t>カラーブロックTシャツ</t>
  </si>
  <si>
    <t>00307-ARS</t>
  </si>
  <si>
    <t>アクティブラグランTシャツ</t>
  </si>
  <si>
    <t>00308-APT</t>
  </si>
  <si>
    <t>パイピングTシャツ</t>
  </si>
  <si>
    <t>00309-APP</t>
  </si>
  <si>
    <t>アクティブポロシャツ</t>
  </si>
  <si>
    <t>00310-AGP</t>
  </si>
  <si>
    <t>アクティブゲームシャツ</t>
  </si>
  <si>
    <t>00311-AHZ</t>
  </si>
  <si>
    <t>ハーフジップTシャツ</t>
  </si>
  <si>
    <t>00312-ASW</t>
  </si>
  <si>
    <t>アクティブTシャツ（Women’s）</t>
  </si>
  <si>
    <t>00313-APW</t>
  </si>
  <si>
    <t>アクティブポロシャツ（Women’s）</t>
  </si>
  <si>
    <t>00314-ANN</t>
  </si>
  <si>
    <t>コンプレッションTシャツ</t>
  </si>
  <si>
    <t>00315-ADJ</t>
  </si>
  <si>
    <t>トラックジャケット</t>
  </si>
  <si>
    <t>00316-ADZ</t>
  </si>
  <si>
    <t>トラックパンツ</t>
  </si>
  <si>
    <t>00317-ADH</t>
  </si>
  <si>
    <t>川田工業株式会社</t>
    <phoneticPr fontId="6"/>
  </si>
  <si>
    <t>川田工業</t>
    <phoneticPr fontId="6"/>
  </si>
  <si>
    <t>アルバムえほん</t>
    <phoneticPr fontId="6"/>
  </si>
  <si>
    <t>株式会社アルバムえほん</t>
    <phoneticPr fontId="6"/>
  </si>
  <si>
    <t>光文堂</t>
    <phoneticPr fontId="6"/>
  </si>
  <si>
    <t>株式会社光文堂</t>
    <phoneticPr fontId="6"/>
  </si>
  <si>
    <t>ぬいぐるみ付きアルバムえほん　ピーターラビット</t>
    <phoneticPr fontId="6"/>
  </si>
  <si>
    <t>アルバムえほん　ピーターラビットはじめまして、赤ちゃん</t>
    <phoneticPr fontId="6"/>
  </si>
  <si>
    <t>オーダーメイドゴルフグローブ　合成皮革</t>
    <phoneticPr fontId="6"/>
  </si>
  <si>
    <t>オーダーメイドゴルフグローブ　羊革（エチオピアシープ）</t>
    <phoneticPr fontId="6"/>
  </si>
  <si>
    <t>胎毛筆「エンゼルファーストヘアー」和名タイプ</t>
    <phoneticPr fontId="6"/>
  </si>
  <si>
    <t>胎毛筆「エンゼルファーストヘアー」洋名タイプ</t>
    <phoneticPr fontId="6"/>
  </si>
  <si>
    <t>※担当：大澤様。午前中までの受注で当日出荷（土・日・祝日除く）。埼玉より佐川で翌々日着。</t>
    <rPh sb="1" eb="3">
      <t>タントウ</t>
    </rPh>
    <rPh sb="4" eb="6">
      <t>オオサワ</t>
    </rPh>
    <rPh sb="6" eb="7">
      <t>サマ</t>
    </rPh>
    <rPh sb="32" eb="34">
      <t>サイタマ</t>
    </rPh>
    <rPh sb="36" eb="38">
      <t>サガワ</t>
    </rPh>
    <rPh sb="39" eb="42">
      <t>ヨクヨクジツ</t>
    </rPh>
    <rPh sb="42" eb="43">
      <t>チャク</t>
    </rPh>
    <phoneticPr fontId="6"/>
  </si>
  <si>
    <t>※担当：鎌倉様。午前11：00までの受注で当日出荷（土・日・祝日除く）。翌日着。</t>
    <rPh sb="1" eb="3">
      <t>タントウ</t>
    </rPh>
    <rPh sb="4" eb="6">
      <t>カマクラ</t>
    </rPh>
    <rPh sb="6" eb="7">
      <t>サマ</t>
    </rPh>
    <rPh sb="36" eb="38">
      <t>ヨクジツ</t>
    </rPh>
    <rPh sb="38" eb="39">
      <t>チャク</t>
    </rPh>
    <phoneticPr fontId="6"/>
  </si>
  <si>
    <t>※担当：中川様。午前中までの受注で翌日出荷（土・日・祝日除く）</t>
    <rPh sb="1" eb="3">
      <t>タントウ</t>
    </rPh>
    <rPh sb="4" eb="6">
      <t>ナカガワ</t>
    </rPh>
    <rPh sb="6" eb="7">
      <t>サマ</t>
    </rPh>
    <phoneticPr fontId="6"/>
  </si>
  <si>
    <t>アルバムえほん　入園入学ブック</t>
    <phoneticPr fontId="6"/>
  </si>
  <si>
    <t>アルバムえほん</t>
  </si>
  <si>
    <t>5.0オンスベイビーロンパース</t>
    <phoneticPr fontId="11"/>
  </si>
  <si>
    <t>5145-02</t>
  </si>
  <si>
    <t>5.3オンスドライＣＶＣポロシャツ（ボタンダウンポケット付き）</t>
    <rPh sb="28" eb="29">
      <t>ツ</t>
    </rPh>
    <phoneticPr fontId="11"/>
  </si>
  <si>
    <t>5051-01</t>
  </si>
  <si>
    <t>CAB</t>
    <phoneticPr fontId="11"/>
  </si>
  <si>
    <t>5.3オンスドライＣＶＣポロシャツ</t>
    <phoneticPr fontId="11"/>
  </si>
  <si>
    <t>5050-01</t>
  </si>
  <si>
    <t>10.0オンス　スウェット　パンツ　(パイル）</t>
    <phoneticPr fontId="11"/>
  </si>
  <si>
    <t>5017-03</t>
  </si>
  <si>
    <t>5017-02</t>
  </si>
  <si>
    <t>5017-01</t>
  </si>
  <si>
    <t>10.0オンス　スウェット　プルオ－バー　パーカ　(パイル）</t>
    <phoneticPr fontId="11"/>
  </si>
  <si>
    <t>5014-03</t>
  </si>
  <si>
    <t>5014-02</t>
  </si>
  <si>
    <t>5014-01</t>
  </si>
  <si>
    <t>10.0オンス　スウェット　フルジップ　パーカ　(パイル）</t>
    <phoneticPr fontId="11"/>
  </si>
  <si>
    <t>5013-01</t>
  </si>
  <si>
    <t>7.1オンスＴシャツ</t>
    <phoneticPr fontId="11"/>
  </si>
  <si>
    <t>4252-01</t>
  </si>
  <si>
    <t>カーキトラウザーズ</t>
    <phoneticPr fontId="11"/>
  </si>
  <si>
    <t>カーゴパンツ（カモフラージュ）</t>
    <phoneticPr fontId="11"/>
  </si>
  <si>
    <t>カーゴパンツ</t>
    <phoneticPr fontId="11"/>
  </si>
  <si>
    <t>2033-01</t>
  </si>
  <si>
    <t>7.0オンスジャージラグランスリーブジャケット</t>
    <phoneticPr fontId="11"/>
  </si>
  <si>
    <t>1995-01</t>
  </si>
  <si>
    <t>6.2オンスイージーショーツ</t>
    <phoneticPr fontId="11"/>
  </si>
  <si>
    <t>1975-01</t>
  </si>
  <si>
    <t>4.7oz ドライT/Cショートスリーブシャツ（ボタンダウン）</t>
    <phoneticPr fontId="6"/>
  </si>
  <si>
    <t>4.7oz ドライT/Cロングスリーブシャツ（ボタンダウン）</t>
    <phoneticPr fontId="6"/>
  </si>
  <si>
    <t>4.1オンス　ドライＴシャツ （キッズ）</t>
    <phoneticPr fontId="11"/>
  </si>
  <si>
    <t>4.4オンス　トライブレンドＴシャツ</t>
    <phoneticPr fontId="11"/>
  </si>
  <si>
    <t>MS1605</t>
  </si>
  <si>
    <t>MS1602</t>
  </si>
  <si>
    <t>MK7101</t>
  </si>
  <si>
    <t>MM705</t>
  </si>
  <si>
    <t>MB406</t>
  </si>
  <si>
    <t>BC-7124</t>
  </si>
  <si>
    <t>アロハシャツ</t>
    <phoneticPr fontId="11"/>
  </si>
  <si>
    <t>アロハシャツ</t>
    <phoneticPr fontId="11"/>
  </si>
  <si>
    <t>半袖シャツ</t>
    <rPh sb="0" eb="2">
      <t>ハンソデ</t>
    </rPh>
    <phoneticPr fontId="4"/>
  </si>
  <si>
    <t>長袖シャツ</t>
    <rPh sb="0" eb="2">
      <t>ナガソデ</t>
    </rPh>
    <phoneticPr fontId="4"/>
  </si>
  <si>
    <t>長袖ボタンダウンシャツ</t>
    <rPh sb="0" eb="2">
      <t>ナガソデ</t>
    </rPh>
    <phoneticPr fontId="4"/>
  </si>
  <si>
    <t>半袖ボタンダウンシャツ</t>
    <rPh sb="0" eb="2">
      <t>ハンソデ</t>
    </rPh>
    <phoneticPr fontId="4"/>
  </si>
  <si>
    <t>続服（キッズ）</t>
    <rPh sb="0" eb="1">
      <t>ゾク</t>
    </rPh>
    <rPh sb="1" eb="2">
      <t>フク</t>
    </rPh>
    <phoneticPr fontId="4"/>
  </si>
  <si>
    <t>綿ＧＩベルト</t>
    <rPh sb="0" eb="1">
      <t>メン</t>
    </rPh>
    <phoneticPr fontId="4"/>
  </si>
  <si>
    <t>革ベルト</t>
    <rPh sb="0" eb="1">
      <t>カワ</t>
    </rPh>
    <phoneticPr fontId="4"/>
  </si>
  <si>
    <t>組みベルト</t>
    <rPh sb="0" eb="1">
      <t>ク</t>
    </rPh>
    <phoneticPr fontId="4"/>
  </si>
  <si>
    <t>半袖ボタンダウンポロシャツ</t>
    <rPh sb="0" eb="2">
      <t>ハンソデ</t>
    </rPh>
    <phoneticPr fontId="4"/>
  </si>
  <si>
    <t>長袖ポロシャツ（胸ポケット有り）</t>
    <rPh sb="0" eb="2">
      <t>ナガソデ</t>
    </rPh>
    <rPh sb="8" eb="9">
      <t>ムネ</t>
    </rPh>
    <rPh sb="13" eb="14">
      <t>ア</t>
    </rPh>
    <phoneticPr fontId="4"/>
  </si>
  <si>
    <t>半袖ポロシャツ（胸ポケット有り）</t>
    <rPh sb="0" eb="2">
      <t>ハンソデ</t>
    </rPh>
    <rPh sb="8" eb="9">
      <t>ムネ</t>
    </rPh>
    <rPh sb="13" eb="14">
      <t>ア</t>
    </rPh>
    <phoneticPr fontId="4"/>
  </si>
  <si>
    <t>リバース</t>
    <phoneticPr fontId="6"/>
  </si>
  <si>
    <t>AS-110</t>
  </si>
  <si>
    <t>コックコート（長袖）［兼用］</t>
    <rPh sb="7" eb="9">
      <t>ナガソデ</t>
    </rPh>
    <rPh sb="11" eb="13">
      <t>ケンヨウ</t>
    </rPh>
    <phoneticPr fontId="11"/>
  </si>
  <si>
    <t>AS-111</t>
  </si>
  <si>
    <t>コックコート（半袖）［兼用］</t>
    <rPh sb="7" eb="9">
      <t>ハンソデ</t>
    </rPh>
    <rPh sb="11" eb="13">
      <t>ケンヨウ</t>
    </rPh>
    <phoneticPr fontId="11"/>
  </si>
  <si>
    <t>AS-114</t>
  </si>
  <si>
    <t>AS-115</t>
  </si>
  <si>
    <t>AS-5924</t>
  </si>
  <si>
    <t>チーフシェフコート［兼用］</t>
    <rPh sb="10" eb="12">
      <t>ケンヨウ</t>
    </rPh>
    <phoneticPr fontId="11"/>
  </si>
  <si>
    <t>AS-6017</t>
  </si>
  <si>
    <t>シングルコックコート［兼用］</t>
    <rPh sb="11" eb="13">
      <t>ケンヨウ</t>
    </rPh>
    <phoneticPr fontId="11"/>
  </si>
  <si>
    <t>AS-6019</t>
  </si>
  <si>
    <t>コックコート［女］</t>
    <rPh sb="7" eb="8">
      <t>オンナ</t>
    </rPh>
    <phoneticPr fontId="11"/>
  </si>
  <si>
    <t>AS-6208</t>
  </si>
  <si>
    <t>AS-6209</t>
  </si>
  <si>
    <t>AS-6624</t>
  </si>
  <si>
    <t>AS-6800</t>
  </si>
  <si>
    <t>コックコート（七分袖）［兼用］</t>
    <rPh sb="7" eb="8">
      <t>シチ</t>
    </rPh>
    <rPh sb="8" eb="9">
      <t>ブ</t>
    </rPh>
    <rPh sb="9" eb="10">
      <t>ソデ</t>
    </rPh>
    <rPh sb="12" eb="14">
      <t>ケンヨウ</t>
    </rPh>
    <phoneticPr fontId="11"/>
  </si>
  <si>
    <t>AS-7300</t>
  </si>
  <si>
    <t>AS-7301</t>
  </si>
  <si>
    <t>AS-7302</t>
  </si>
  <si>
    <t>BC-7123</t>
  </si>
  <si>
    <t>ジャケット（七分袖）［兼用］</t>
    <rPh sb="6" eb="7">
      <t>シチ</t>
    </rPh>
    <rPh sb="7" eb="8">
      <t>ブ</t>
    </rPh>
    <rPh sb="8" eb="9">
      <t>ソデ</t>
    </rPh>
    <rPh sb="11" eb="12">
      <t>ケン</t>
    </rPh>
    <rPh sb="12" eb="13">
      <t>ヨウ</t>
    </rPh>
    <phoneticPr fontId="11"/>
  </si>
  <si>
    <t>シャツ（７分袖）［男］</t>
    <rPh sb="5" eb="6">
      <t>ブ</t>
    </rPh>
    <rPh sb="6" eb="7">
      <t>ソデ</t>
    </rPh>
    <rPh sb="9" eb="10">
      <t>オトコ</t>
    </rPh>
    <phoneticPr fontId="11"/>
  </si>
  <si>
    <t>BC-7125</t>
  </si>
  <si>
    <t>シャツ（７分袖）［女］</t>
    <rPh sb="5" eb="6">
      <t>ブ</t>
    </rPh>
    <rPh sb="6" eb="7">
      <t>ソデ</t>
    </rPh>
    <rPh sb="9" eb="10">
      <t>オンナ</t>
    </rPh>
    <phoneticPr fontId="11"/>
  </si>
  <si>
    <t>AS-110</t>
    <phoneticPr fontId="6"/>
  </si>
  <si>
    <t>アロハシャツ</t>
  </si>
  <si>
    <t>カラーエプロン（たすき）</t>
  </si>
  <si>
    <t>ボタンダウンポロシャツ</t>
    <phoneticPr fontId="11"/>
  </si>
  <si>
    <t>川島商事</t>
    <rPh sb="0" eb="2">
      <t>カワシマ</t>
    </rPh>
    <rPh sb="2" eb="4">
      <t>ショウジ</t>
    </rPh>
    <phoneticPr fontId="11"/>
  </si>
  <si>
    <t>FMP-2580</t>
  </si>
  <si>
    <t>スリムフライポロシャツ（レディース）</t>
    <phoneticPr fontId="11"/>
  </si>
  <si>
    <t>フェリック</t>
    <phoneticPr fontId="11"/>
  </si>
  <si>
    <t>LAJ-502</t>
  </si>
  <si>
    <t>レディースアスレチックジャケット</t>
    <phoneticPr fontId="11"/>
  </si>
  <si>
    <t>フェリック</t>
    <phoneticPr fontId="11"/>
  </si>
  <si>
    <t>LAP-503</t>
  </si>
  <si>
    <t>レディースアスレチックパンツ</t>
    <phoneticPr fontId="11"/>
  </si>
  <si>
    <t>MAJ-500</t>
  </si>
  <si>
    <t>メンズアスレチックジャケット</t>
    <phoneticPr fontId="11"/>
  </si>
  <si>
    <t>MAP-501</t>
  </si>
  <si>
    <t>メンズアスレチックパンツ</t>
    <phoneticPr fontId="11"/>
  </si>
  <si>
    <t>POV-109</t>
  </si>
  <si>
    <t>ファイバービブス</t>
    <phoneticPr fontId="11"/>
  </si>
  <si>
    <t>SBT-125</t>
  </si>
  <si>
    <t>ボーダーＴシャツ</t>
    <phoneticPr fontId="11"/>
  </si>
  <si>
    <t>SBT-126</t>
  </si>
  <si>
    <t>ウィメンズボーダーＴシャツ</t>
    <phoneticPr fontId="11"/>
  </si>
  <si>
    <t>TBL-117</t>
  </si>
  <si>
    <t>トライブレンド3/4スリーブＴシャツ（レディース）</t>
    <phoneticPr fontId="11"/>
  </si>
  <si>
    <t>TBL-118</t>
  </si>
  <si>
    <t>トライブレンド3/4スリーブＴシャツ</t>
    <phoneticPr fontId="11"/>
  </si>
  <si>
    <t>TCR-112</t>
  </si>
  <si>
    <t>トライブレンドＴシャツ</t>
    <phoneticPr fontId="11"/>
  </si>
  <si>
    <t>TCR-127</t>
  </si>
  <si>
    <t>トライブレンドウィメンズＴシャツ</t>
    <phoneticPr fontId="11"/>
  </si>
  <si>
    <t>TMT-123</t>
  </si>
  <si>
    <t>トライブレンドマキシタンクトップ</t>
    <phoneticPr fontId="11"/>
  </si>
  <si>
    <t>フェリック</t>
    <phoneticPr fontId="11"/>
  </si>
  <si>
    <t>TQS-121</t>
  </si>
  <si>
    <t>トライブランドラグラン7分袖シャツ（レディース）</t>
    <rPh sb="12" eb="13">
      <t>ブ</t>
    </rPh>
    <rPh sb="13" eb="14">
      <t>ソデ</t>
    </rPh>
    <phoneticPr fontId="11"/>
  </si>
  <si>
    <t>TQS-122</t>
  </si>
  <si>
    <t>トライブランドラグラン7分袖シャツ</t>
    <rPh sb="12" eb="13">
      <t>ブ</t>
    </rPh>
    <rPh sb="13" eb="14">
      <t>ソデ</t>
    </rPh>
    <phoneticPr fontId="11"/>
  </si>
  <si>
    <t>WLS-803</t>
  </si>
  <si>
    <t>ウィメンズルーズＴシャツ</t>
    <phoneticPr fontId="11"/>
  </si>
  <si>
    <t>モバイルオーバーオールズ</t>
    <phoneticPr fontId="11"/>
  </si>
  <si>
    <t>藤和</t>
    <rPh sb="0" eb="1">
      <t>フジ</t>
    </rPh>
    <rPh sb="1" eb="2">
      <t>ワ</t>
    </rPh>
    <phoneticPr fontId="11"/>
  </si>
  <si>
    <t>P-1201</t>
  </si>
  <si>
    <t>軽量ウィンドブレーカー</t>
    <rPh sb="0" eb="2">
      <t>ケイリョウ</t>
    </rPh>
    <phoneticPr fontId="11"/>
  </si>
  <si>
    <t>P-1400</t>
  </si>
  <si>
    <t>サテンジャンパー</t>
    <phoneticPr fontId="11"/>
  </si>
  <si>
    <t>P-6880</t>
  </si>
  <si>
    <t>ビストロ</t>
    <phoneticPr fontId="11"/>
  </si>
  <si>
    <t>バヤ</t>
    <phoneticPr fontId="11"/>
  </si>
  <si>
    <t>クロックスバンド</t>
    <phoneticPr fontId="11"/>
  </si>
  <si>
    <t>フーバーレースアップ</t>
    <phoneticPr fontId="11"/>
  </si>
  <si>
    <t>クロックス　ワット</t>
    <phoneticPr fontId="11"/>
  </si>
  <si>
    <t>クロックス　ワット　ベント</t>
    <phoneticPr fontId="11"/>
  </si>
  <si>
    <t>FB4007L</t>
  </si>
  <si>
    <t>ブラウス（七分袖）</t>
    <rPh sb="5" eb="7">
      <t>シチブ</t>
    </rPh>
    <rPh sb="7" eb="8">
      <t>ソデ</t>
    </rPh>
    <phoneticPr fontId="11"/>
  </si>
  <si>
    <t>FB4008L</t>
  </si>
  <si>
    <t>FB4009L</t>
  </si>
  <si>
    <t>ブラウス（七分袖）</t>
    <rPh sb="5" eb="6">
      <t>シチ</t>
    </rPh>
    <rPh sb="6" eb="7">
      <t>ブ</t>
    </rPh>
    <rPh sb="7" eb="8">
      <t>ソデ</t>
    </rPh>
    <phoneticPr fontId="11"/>
  </si>
  <si>
    <t>FB4011L</t>
  </si>
  <si>
    <t>ブラウス（レディス）</t>
    <phoneticPr fontId="11"/>
  </si>
  <si>
    <t>FB4012L</t>
  </si>
  <si>
    <t>レディスブラウス（長袖）</t>
    <rPh sb="9" eb="11">
      <t>ナガソデ</t>
    </rPh>
    <phoneticPr fontId="11"/>
  </si>
  <si>
    <t>FB4014L</t>
  </si>
  <si>
    <t>レディスブラウス（半袖）</t>
    <rPh sb="9" eb="11">
      <t>ハンソデ</t>
    </rPh>
    <phoneticPr fontId="11"/>
  </si>
  <si>
    <t>FB4501U</t>
  </si>
  <si>
    <t>シャツ</t>
    <phoneticPr fontId="11"/>
  </si>
  <si>
    <t>FB4502U</t>
  </si>
  <si>
    <t>シャツ（ユニセックス）（長袖）</t>
    <rPh sb="12" eb="14">
      <t>ナガソデ</t>
    </rPh>
    <phoneticPr fontId="11"/>
  </si>
  <si>
    <t>FB4505U</t>
  </si>
  <si>
    <t>シャツ（ユニセックス）（半袖）</t>
    <rPh sb="12" eb="14">
      <t>ハンソデ</t>
    </rPh>
    <phoneticPr fontId="11"/>
  </si>
  <si>
    <t>FB4506U</t>
  </si>
  <si>
    <t>ユニセックスシャツ（長袖）</t>
    <rPh sb="10" eb="12">
      <t>ナガソデ</t>
    </rPh>
    <phoneticPr fontId="11"/>
  </si>
  <si>
    <t>FB4507U</t>
  </si>
  <si>
    <t>ユニセックスシャツ（半袖）</t>
    <rPh sb="10" eb="12">
      <t>ハンソデ</t>
    </rPh>
    <phoneticPr fontId="11"/>
  </si>
  <si>
    <t>FB4508U</t>
  </si>
  <si>
    <t>FB4509U</t>
  </si>
  <si>
    <t>FB4510U</t>
  </si>
  <si>
    <t>FB4511U</t>
  </si>
  <si>
    <t>FB4516U</t>
  </si>
  <si>
    <t>FB4517U</t>
  </si>
  <si>
    <t>FB4518U</t>
  </si>
  <si>
    <t>FB4519U</t>
  </si>
  <si>
    <t>FB486U</t>
  </si>
  <si>
    <t>FB487U</t>
  </si>
  <si>
    <t>シャツ（半袖）</t>
    <rPh sb="4" eb="5">
      <t>ハン</t>
    </rPh>
    <rPh sb="5" eb="6">
      <t>ソデ</t>
    </rPh>
    <phoneticPr fontId="11"/>
  </si>
  <si>
    <t>FB488U</t>
  </si>
  <si>
    <t>シャツ（半袖）</t>
    <rPh sb="4" eb="6">
      <t>ハンソデ</t>
    </rPh>
    <phoneticPr fontId="11"/>
  </si>
  <si>
    <t>FB491U</t>
  </si>
  <si>
    <t>シャツ（長袖）</t>
    <rPh sb="4" eb="6">
      <t>ナガソデ</t>
    </rPh>
    <phoneticPr fontId="11"/>
  </si>
  <si>
    <t>FB492U</t>
  </si>
  <si>
    <t>FB5007M</t>
  </si>
  <si>
    <t>FB5008M</t>
  </si>
  <si>
    <t>FB5009M</t>
  </si>
  <si>
    <t>FB5010M</t>
  </si>
  <si>
    <t>FB5012M</t>
  </si>
  <si>
    <t>FB5013M</t>
  </si>
  <si>
    <t>FB5014M</t>
  </si>
  <si>
    <t>メンズシャツ</t>
    <phoneticPr fontId="11"/>
  </si>
  <si>
    <t>FB5015M</t>
  </si>
  <si>
    <t>メンズシャツ（長袖）</t>
    <rPh sb="7" eb="9">
      <t>ナガソデ</t>
    </rPh>
    <phoneticPr fontId="11"/>
  </si>
  <si>
    <t>FB5016M</t>
  </si>
  <si>
    <t>メンズシャツ（半袖）</t>
    <rPh sb="7" eb="9">
      <t>ハンソデ</t>
    </rPh>
    <phoneticPr fontId="11"/>
  </si>
  <si>
    <t>FB5017M</t>
  </si>
  <si>
    <t>FB5018M</t>
  </si>
  <si>
    <t>FB5019M</t>
  </si>
  <si>
    <t>メンズポロシャツ</t>
    <phoneticPr fontId="11"/>
  </si>
  <si>
    <t>FB5020M</t>
  </si>
  <si>
    <t>FB5021M</t>
  </si>
  <si>
    <t>FB5022M</t>
  </si>
  <si>
    <t>レディスシャツ（長袖）</t>
    <rPh sb="8" eb="10">
      <t>ナガソデ</t>
    </rPh>
    <phoneticPr fontId="11"/>
  </si>
  <si>
    <t>レディスシャツ（半袖）</t>
    <rPh sb="8" eb="10">
      <t>ハンソデ</t>
    </rPh>
    <phoneticPr fontId="11"/>
  </si>
  <si>
    <t>FB555U</t>
  </si>
  <si>
    <t>FB560U</t>
  </si>
  <si>
    <t>シャツ（七分袖）</t>
    <phoneticPr fontId="11"/>
  </si>
  <si>
    <t>FB561U</t>
  </si>
  <si>
    <t>シャツ（七分袖）</t>
    <rPh sb="4" eb="6">
      <t>シチブ</t>
    </rPh>
    <rPh sb="6" eb="7">
      <t>ソデ</t>
    </rPh>
    <phoneticPr fontId="11"/>
  </si>
  <si>
    <t>FB575U</t>
  </si>
  <si>
    <t>シャツ</t>
    <phoneticPr fontId="11"/>
  </si>
  <si>
    <t>FB599U</t>
  </si>
  <si>
    <t>FC336L</t>
  </si>
  <si>
    <t>キュロットスカート</t>
    <phoneticPr fontId="11"/>
  </si>
  <si>
    <t>FK7048</t>
  </si>
  <si>
    <t>ソムリエエプロン</t>
    <phoneticPr fontId="11"/>
  </si>
  <si>
    <t>FK7049</t>
  </si>
  <si>
    <t>FK7052</t>
  </si>
  <si>
    <t>エプロン</t>
    <phoneticPr fontId="11"/>
  </si>
  <si>
    <t>FK7053</t>
  </si>
  <si>
    <t>FK7055</t>
  </si>
  <si>
    <t>FK7056</t>
  </si>
  <si>
    <t>FK7061</t>
  </si>
  <si>
    <t>FK7062</t>
  </si>
  <si>
    <t>FK7069</t>
  </si>
  <si>
    <t>FK7070</t>
  </si>
  <si>
    <t>FK7078</t>
  </si>
  <si>
    <t>FK7079</t>
  </si>
  <si>
    <t>FK7115</t>
  </si>
  <si>
    <t>FK7117</t>
  </si>
  <si>
    <t>エプロン</t>
    <phoneticPr fontId="11"/>
  </si>
  <si>
    <t>FK7118</t>
  </si>
  <si>
    <t>FK7119</t>
  </si>
  <si>
    <t>FK7120</t>
  </si>
  <si>
    <t>FK7121</t>
  </si>
  <si>
    <t>胸当てエプロン（チェック）</t>
    <rPh sb="0" eb="1">
      <t>ムネ</t>
    </rPh>
    <rPh sb="1" eb="2">
      <t>ア</t>
    </rPh>
    <phoneticPr fontId="11"/>
  </si>
  <si>
    <t>FK7122</t>
  </si>
  <si>
    <t>胸当てエプロン（ストライプ）</t>
    <rPh sb="0" eb="1">
      <t>ムネ</t>
    </rPh>
    <rPh sb="1" eb="2">
      <t>ア</t>
    </rPh>
    <phoneticPr fontId="11"/>
  </si>
  <si>
    <t>FK7123</t>
  </si>
  <si>
    <t>ロングエプロン（チェック）</t>
    <phoneticPr fontId="11"/>
  </si>
  <si>
    <t>FK7124</t>
  </si>
  <si>
    <t>ロングエプロン（ストライプ）</t>
    <phoneticPr fontId="11"/>
  </si>
  <si>
    <t>FK7125</t>
  </si>
  <si>
    <t>ショートエプロン（チェック）</t>
    <phoneticPr fontId="11"/>
  </si>
  <si>
    <t>FK7126</t>
  </si>
  <si>
    <t>ショートエプロン</t>
    <phoneticPr fontId="11"/>
  </si>
  <si>
    <t>FK7127</t>
  </si>
  <si>
    <t>胸当てエプロン</t>
    <rPh sb="0" eb="1">
      <t>ムネ</t>
    </rPh>
    <rPh sb="1" eb="2">
      <t>ア</t>
    </rPh>
    <phoneticPr fontId="11"/>
  </si>
  <si>
    <t>FK7128</t>
  </si>
  <si>
    <t>胸当てエプロン</t>
    <rPh sb="0" eb="2">
      <t>ムネア</t>
    </rPh>
    <phoneticPr fontId="11"/>
  </si>
  <si>
    <t>FK7129</t>
  </si>
  <si>
    <t>ソムリエエプロン</t>
    <phoneticPr fontId="11"/>
  </si>
  <si>
    <t>FK7130</t>
  </si>
  <si>
    <t>ミドルエプロン</t>
    <phoneticPr fontId="11"/>
  </si>
  <si>
    <t>FK7131</t>
  </si>
  <si>
    <t>帆前掛け</t>
    <rPh sb="0" eb="1">
      <t>ホ</t>
    </rPh>
    <rPh sb="1" eb="3">
      <t>マエカ</t>
    </rPh>
    <phoneticPr fontId="11"/>
  </si>
  <si>
    <t>FK7132</t>
  </si>
  <si>
    <t>FK7133</t>
  </si>
  <si>
    <t>FK7134</t>
  </si>
  <si>
    <t>ロングエプロン</t>
    <phoneticPr fontId="11"/>
  </si>
  <si>
    <t>FK7135</t>
  </si>
  <si>
    <t>FK7136</t>
  </si>
  <si>
    <t>衿付き胸当てエプロン</t>
    <rPh sb="0" eb="1">
      <t>エリ</t>
    </rPh>
    <rPh sb="1" eb="2">
      <t>ツ</t>
    </rPh>
    <rPh sb="3" eb="5">
      <t>ムネア</t>
    </rPh>
    <phoneticPr fontId="11"/>
  </si>
  <si>
    <t>FK7137</t>
  </si>
  <si>
    <t>FP6002M</t>
  </si>
  <si>
    <t>メンズチノパン</t>
    <phoneticPr fontId="11"/>
  </si>
  <si>
    <t>FP608M</t>
  </si>
  <si>
    <t>パンツ</t>
    <phoneticPr fontId="11"/>
  </si>
  <si>
    <t>FP6302L</t>
  </si>
  <si>
    <t>レディースチノパン</t>
    <phoneticPr fontId="11"/>
  </si>
  <si>
    <t>FP633L</t>
  </si>
  <si>
    <t>カプリパンツ</t>
    <phoneticPr fontId="11"/>
  </si>
  <si>
    <t>FP635L</t>
  </si>
  <si>
    <t>FP6700U</t>
  </si>
  <si>
    <t>FP677L</t>
  </si>
  <si>
    <t>FP679L</t>
  </si>
  <si>
    <t>GO878</t>
  </si>
  <si>
    <t>レディースステッチキャップ</t>
    <phoneticPr fontId="11"/>
  </si>
  <si>
    <t>GO943</t>
  </si>
  <si>
    <t>レディースサンバイザー</t>
    <phoneticPr fontId="11"/>
  </si>
  <si>
    <t>GO946</t>
  </si>
  <si>
    <t>レディースメッシュキャップ</t>
    <phoneticPr fontId="11"/>
  </si>
  <si>
    <t>MB402</t>
  </si>
  <si>
    <t>スコート</t>
    <phoneticPr fontId="11"/>
  </si>
  <si>
    <t>MB405</t>
  </si>
  <si>
    <t>スパッツ（3分丈）</t>
    <rPh sb="6" eb="7">
      <t>ブ</t>
    </rPh>
    <rPh sb="7" eb="8">
      <t>タケ</t>
    </rPh>
    <phoneticPr fontId="11"/>
  </si>
  <si>
    <t>スパッツ（5分丈）</t>
    <rPh sb="6" eb="7">
      <t>ブ</t>
    </rPh>
    <rPh sb="7" eb="8">
      <t>タケ</t>
    </rPh>
    <phoneticPr fontId="11"/>
  </si>
  <si>
    <t>MB408</t>
  </si>
  <si>
    <t>スパッツ（10分丈）</t>
    <rPh sb="7" eb="8">
      <t>ブ</t>
    </rPh>
    <rPh sb="8" eb="9">
      <t>タケ</t>
    </rPh>
    <phoneticPr fontId="11"/>
  </si>
  <si>
    <t>フードインDJ</t>
    <phoneticPr fontId="11"/>
  </si>
  <si>
    <t>アスレチックブルゾン</t>
    <phoneticPr fontId="11"/>
  </si>
  <si>
    <t>MJ0054</t>
  </si>
  <si>
    <t>2トーンフィールドコート</t>
    <phoneticPr fontId="11"/>
  </si>
  <si>
    <t>MJ0063</t>
  </si>
  <si>
    <t>シングルDJ</t>
    <phoneticPr fontId="11"/>
  </si>
  <si>
    <t>ダブルDJ</t>
    <phoneticPr fontId="11"/>
  </si>
  <si>
    <t>MK7100</t>
  </si>
  <si>
    <t>コットンビブス</t>
    <phoneticPr fontId="11"/>
  </si>
  <si>
    <t>メッシュビブス</t>
    <phoneticPr fontId="11"/>
  </si>
  <si>
    <t>ビブス</t>
    <phoneticPr fontId="11"/>
  </si>
  <si>
    <t>MM704</t>
  </si>
  <si>
    <t>ワンピース１</t>
    <phoneticPr fontId="11"/>
  </si>
  <si>
    <t>ワンピース２</t>
  </si>
  <si>
    <t>MM8707</t>
  </si>
  <si>
    <t>ワンピース３</t>
  </si>
  <si>
    <t>MP6413</t>
  </si>
  <si>
    <t>ショートパンツ</t>
    <phoneticPr fontId="11"/>
  </si>
  <si>
    <t>ヘビーウェイトロングＴシャツ</t>
    <phoneticPr fontId="11"/>
  </si>
  <si>
    <t>エコＴシャツ</t>
    <phoneticPr fontId="11"/>
  </si>
  <si>
    <t>MS1141</t>
  </si>
  <si>
    <t>5.3オンスユーロＴシャツ</t>
    <phoneticPr fontId="11"/>
  </si>
  <si>
    <t>MS1601</t>
  </si>
  <si>
    <t>ラグランベースボール3/4スリーブＴシャツ</t>
    <phoneticPr fontId="11"/>
  </si>
  <si>
    <t>ラグランロングスリーブＴシャツ</t>
    <phoneticPr fontId="11"/>
  </si>
  <si>
    <t>MS1604</t>
  </si>
  <si>
    <t>3.8オンス　ユーロロングTシャツ</t>
    <phoneticPr fontId="11"/>
  </si>
  <si>
    <t>5.3オンスユーロロングＴシャツ</t>
    <phoneticPr fontId="11"/>
  </si>
  <si>
    <t>ジップパーカ</t>
    <phoneticPr fontId="11"/>
  </si>
  <si>
    <t>鹿の子ポロシャツ</t>
    <rPh sb="0" eb="1">
      <t>カ</t>
    </rPh>
    <rPh sb="2" eb="3">
      <t>コ</t>
    </rPh>
    <phoneticPr fontId="11"/>
  </si>
  <si>
    <t>MS3107</t>
  </si>
  <si>
    <t>ドライポロシャツ</t>
    <phoneticPr fontId="11"/>
  </si>
  <si>
    <t>MS3109</t>
  </si>
  <si>
    <t>ボタンダウンポロシャツ</t>
    <phoneticPr fontId="11"/>
  </si>
  <si>
    <t>MS3110</t>
  </si>
  <si>
    <t>ホリゾンカラーポロシャツ</t>
    <phoneticPr fontId="11"/>
  </si>
  <si>
    <t>MS312</t>
  </si>
  <si>
    <t>メンズトップクールポロシャツ</t>
    <phoneticPr fontId="11"/>
  </si>
  <si>
    <t>レディースクルーネックＴシャツ</t>
    <phoneticPr fontId="11"/>
  </si>
  <si>
    <t>レディースリブカップスリーブＴシャツ</t>
    <phoneticPr fontId="11"/>
  </si>
  <si>
    <t>MSL5005</t>
  </si>
  <si>
    <t>レディースＴシャツ</t>
    <phoneticPr fontId="11"/>
  </si>
  <si>
    <t>レディーストップクールポロシャツ</t>
    <phoneticPr fontId="11"/>
  </si>
  <si>
    <t>FB4007L</t>
    <phoneticPr fontId="6"/>
  </si>
  <si>
    <t>GU-5400</t>
    <phoneticPr fontId="6"/>
  </si>
  <si>
    <t>GU-5400</t>
    <phoneticPr fontId="6"/>
  </si>
  <si>
    <t>半袖ブロードシャツ</t>
    <rPh sb="0" eb="2">
      <t>ハンソデ</t>
    </rPh>
    <phoneticPr fontId="5"/>
  </si>
  <si>
    <t>※基本1週間キープ。14時までの入金確認で当日発送→翌々日着（神奈川県より）。在庫確認はTEL→担当は財津様。</t>
    <rPh sb="1" eb="3">
      <t>キホン</t>
    </rPh>
    <rPh sb="4" eb="6">
      <t>シュウカン</t>
    </rPh>
    <rPh sb="12" eb="13">
      <t>ジ</t>
    </rPh>
    <rPh sb="16" eb="18">
      <t>ニュウキン</t>
    </rPh>
    <rPh sb="18" eb="20">
      <t>カクニン</t>
    </rPh>
    <rPh sb="21" eb="23">
      <t>トウジツ</t>
    </rPh>
    <rPh sb="23" eb="25">
      <t>ハッソウ</t>
    </rPh>
    <rPh sb="26" eb="29">
      <t>ヨクヨクジツ</t>
    </rPh>
    <rPh sb="29" eb="30">
      <t>チャク</t>
    </rPh>
    <rPh sb="31" eb="34">
      <t>カナガワ</t>
    </rPh>
    <rPh sb="34" eb="35">
      <t>ケン</t>
    </rPh>
    <rPh sb="39" eb="41">
      <t>ザイコ</t>
    </rPh>
    <rPh sb="41" eb="43">
      <t>カクニン</t>
    </rPh>
    <rPh sb="48" eb="50">
      <t>タントウ</t>
    </rPh>
    <rPh sb="51" eb="54">
      <t>ザイツサマ</t>
    </rPh>
    <phoneticPr fontId="3"/>
  </si>
  <si>
    <t>株式会社リバース</t>
    <rPh sb="0" eb="4">
      <t>カ</t>
    </rPh>
    <phoneticPr fontId="6"/>
  </si>
  <si>
    <t>マルチウォームシート</t>
    <phoneticPr fontId="6"/>
  </si>
  <si>
    <t>ボディーウォーマー（腹巻き）</t>
    <phoneticPr fontId="6"/>
  </si>
  <si>
    <t>イベントブルゾン(MJ)</t>
    <phoneticPr fontId="11"/>
  </si>
  <si>
    <t>DM4220</t>
    <phoneticPr fontId="6"/>
  </si>
  <si>
    <t>DM4220</t>
    <phoneticPr fontId="6"/>
  </si>
  <si>
    <t>Demimoon ノースリーブ</t>
    <phoneticPr fontId="6"/>
  </si>
  <si>
    <t>5.0oz　テレコロングレングスタンクトップ</t>
    <phoneticPr fontId="11"/>
  </si>
  <si>
    <t>DM4622</t>
    <phoneticPr fontId="6"/>
  </si>
  <si>
    <t>DM4622</t>
    <phoneticPr fontId="6"/>
  </si>
  <si>
    <t>ジップカーディガン</t>
    <phoneticPr fontId="6"/>
  </si>
  <si>
    <t>DM4540</t>
    <phoneticPr fontId="6"/>
  </si>
  <si>
    <t>7分袖Tシャツ</t>
    <phoneticPr fontId="6"/>
  </si>
  <si>
    <t>DM4200</t>
    <phoneticPr fontId="6"/>
  </si>
  <si>
    <t>DM4200</t>
    <phoneticPr fontId="6"/>
  </si>
  <si>
    <t>マッスルワンピース</t>
    <phoneticPr fontId="6"/>
  </si>
  <si>
    <t>その他加工</t>
  </si>
  <si>
    <t>T-63</t>
    <phoneticPr fontId="6"/>
  </si>
  <si>
    <t>T-63　エプロン</t>
    <phoneticPr fontId="6"/>
  </si>
  <si>
    <t>AS-5288</t>
    <phoneticPr fontId="6"/>
  </si>
  <si>
    <t>エプロンドレス AS-5288</t>
    <phoneticPr fontId="6"/>
  </si>
  <si>
    <t xml:space="preserve">★お手数ですが、ご確認後はリAFXをお願い致します。
</t>
    <phoneticPr fontId="6"/>
  </si>
  <si>
    <t>BSP-265</t>
    <phoneticPr fontId="6"/>
  </si>
  <si>
    <t>BSP-265</t>
    <phoneticPr fontId="6"/>
  </si>
  <si>
    <t>ビズスタイルBDポロシャツ</t>
    <phoneticPr fontId="6"/>
  </si>
  <si>
    <t>カーゴパンツ 1998</t>
    <phoneticPr fontId="6"/>
  </si>
  <si>
    <t>LCシルクプリント</t>
    <phoneticPr fontId="6"/>
  </si>
  <si>
    <t>DM4910</t>
    <phoneticPr fontId="6"/>
  </si>
  <si>
    <t>DM4950</t>
    <phoneticPr fontId="6"/>
  </si>
  <si>
    <t>ブラトップ</t>
    <phoneticPr fontId="6"/>
  </si>
  <si>
    <t>ショーツ</t>
    <phoneticPr fontId="6"/>
  </si>
  <si>
    <t>ライブカラー ゆめタウン店</t>
    <phoneticPr fontId="6"/>
  </si>
  <si>
    <t>半袖サポートローネックシャツ</t>
    <phoneticPr fontId="6"/>
  </si>
  <si>
    <t>00046-UB</t>
    <phoneticPr fontId="6"/>
  </si>
  <si>
    <t>ユーティリティブルゾン</t>
    <phoneticPr fontId="6"/>
  </si>
  <si>
    <t>DM4231</t>
    <phoneticPr fontId="6"/>
  </si>
  <si>
    <t>DM4231</t>
    <phoneticPr fontId="6"/>
  </si>
  <si>
    <t>7048-01</t>
    <phoneticPr fontId="6"/>
  </si>
  <si>
    <t>ナイロンマウンテンパーカ</t>
    <phoneticPr fontId="11"/>
  </si>
  <si>
    <t>UZT363</t>
    <phoneticPr fontId="6"/>
  </si>
  <si>
    <t>UZT363</t>
    <phoneticPr fontId="6"/>
  </si>
  <si>
    <t>スラックス（ノータック・脇ゴム）UZT363</t>
    <phoneticPr fontId="6"/>
  </si>
  <si>
    <t>スウィングトップ</t>
    <phoneticPr fontId="6"/>
  </si>
  <si>
    <t>®</t>
    <phoneticPr fontId="6"/>
  </si>
  <si>
    <t xml:space="preserve"> □弊社　　ダブルデプト  楽天市場店　（プラスワン内）</t>
    <rPh sb="2" eb="4">
      <t>ヘイシャ</t>
    </rPh>
    <rPh sb="14" eb="16">
      <t>ラクテン</t>
    </rPh>
    <rPh sb="16" eb="18">
      <t>イチバ</t>
    </rPh>
    <rPh sb="18" eb="19">
      <t>テン</t>
    </rPh>
    <rPh sb="26" eb="27">
      <t>ナイ</t>
    </rPh>
    <phoneticPr fontId="11"/>
  </si>
  <si>
    <t>DM4313</t>
    <phoneticPr fontId="6"/>
  </si>
  <si>
    <t>DM4313</t>
    <phoneticPr fontId="6"/>
  </si>
  <si>
    <t>DM4312</t>
    <phoneticPr fontId="6"/>
  </si>
  <si>
    <t>DM4210</t>
    <phoneticPr fontId="6"/>
  </si>
  <si>
    <t>DM4210</t>
    <phoneticPr fontId="6"/>
  </si>
  <si>
    <t>Maximumスウェットパンツ</t>
  </si>
  <si>
    <t>MP6402</t>
  </si>
  <si>
    <t>中綿パンツ</t>
  </si>
  <si>
    <t>MS1117</t>
  </si>
  <si>
    <t>maximumヘビーウェイトTシャツ</t>
  </si>
  <si>
    <t>MS1118</t>
  </si>
  <si>
    <t>MAXIMUM　ヘビーウェイトロングTシャツ</t>
  </si>
  <si>
    <t>MS1120</t>
  </si>
  <si>
    <t>リフレッシュシャツ(ホワイト)</t>
  </si>
  <si>
    <t>MS1121</t>
  </si>
  <si>
    <t>リフレッシュシャツ(カラー)</t>
  </si>
  <si>
    <t>MS1126</t>
  </si>
  <si>
    <t>MAXIMUMライトウェイトTシャツ（ホワイト）</t>
  </si>
  <si>
    <t>MS1127</t>
  </si>
  <si>
    <t>MAXIMUMライトウェイトTシャツ（カラー）</t>
  </si>
  <si>
    <t>MS1128</t>
  </si>
  <si>
    <t>クールプラスTシャツ</t>
  </si>
  <si>
    <t>MS1130</t>
  </si>
  <si>
    <t>スリムTシャツ</t>
  </si>
  <si>
    <t>MS1133</t>
  </si>
  <si>
    <t>anvilオーガニックコットンTシャツ</t>
  </si>
  <si>
    <t>MS1134</t>
  </si>
  <si>
    <t>anvilオーガニックコットンTシャツ（ブラック）</t>
  </si>
  <si>
    <t>MS1135</t>
  </si>
  <si>
    <t>エコTシャツ</t>
  </si>
  <si>
    <t>MS1136</t>
  </si>
  <si>
    <t>マキシマムドライTシャツ</t>
  </si>
  <si>
    <t>MS1137</t>
  </si>
  <si>
    <t>ユーロTシャツ（ホワイト）</t>
  </si>
  <si>
    <t>MS1138</t>
  </si>
  <si>
    <t>ユーロTシャツ（カラー）</t>
  </si>
  <si>
    <t>MS1139</t>
  </si>
  <si>
    <t>メランジTシャツ</t>
  </si>
  <si>
    <t>MS1140</t>
  </si>
  <si>
    <t>ドライデオドラントTシャツ</t>
  </si>
  <si>
    <t>MS2101</t>
  </si>
  <si>
    <t>Maximumカジュアルトレーナー</t>
  </si>
  <si>
    <t>MS2102</t>
  </si>
  <si>
    <t>Maximumジップパーカー</t>
  </si>
  <si>
    <t>MS2103</t>
  </si>
  <si>
    <t>ジップパーカー</t>
  </si>
  <si>
    <t>MS2104</t>
  </si>
  <si>
    <t>maximimトラックジャケット</t>
  </si>
  <si>
    <t>MS307</t>
  </si>
  <si>
    <t>鹿の子ポロシャツ</t>
  </si>
  <si>
    <t>MS309</t>
  </si>
  <si>
    <t>クールプラスポロシャツ</t>
  </si>
  <si>
    <t>MS3105</t>
  </si>
  <si>
    <t>鹿の子長袖ポロシャツ</t>
  </si>
  <si>
    <t>MS3106</t>
  </si>
  <si>
    <t>ポケット付き鹿の子長袖ポロシャツ</t>
  </si>
  <si>
    <t>MS311</t>
  </si>
  <si>
    <t>クールジップポロシャツ</t>
  </si>
  <si>
    <t>MS313</t>
  </si>
  <si>
    <t>メンズトップクールジップアップシャツ</t>
  </si>
  <si>
    <t>MSL5003</t>
  </si>
  <si>
    <t>MSL5004</t>
  </si>
  <si>
    <t>レディースリブカップスリーブTシャツ</t>
  </si>
  <si>
    <t>MSL501</t>
  </si>
  <si>
    <t>レディーストップクールポロシャツ</t>
  </si>
  <si>
    <t>MSL502</t>
  </si>
  <si>
    <t>レディーストップクールジップアップシャツ</t>
  </si>
  <si>
    <t>PJ0048</t>
  </si>
  <si>
    <t>A4 POPイベントベスト</t>
  </si>
  <si>
    <t>FB489U</t>
  </si>
  <si>
    <t>ストライプ半袖シャツ</t>
  </si>
  <si>
    <t>FB490U</t>
  </si>
  <si>
    <t>無地半袖シャツ</t>
  </si>
  <si>
    <t>FB493U</t>
  </si>
  <si>
    <t>ストライプ長袖シャツ</t>
  </si>
  <si>
    <t>FB494U</t>
  </si>
  <si>
    <t xml:space="preserve">無地長袖シャツ </t>
  </si>
  <si>
    <t>FB501M</t>
  </si>
  <si>
    <t>メンズ長袖カラーシャツ</t>
  </si>
  <si>
    <t>FB503M</t>
  </si>
  <si>
    <t>メンズ半袖カラーシャツ</t>
  </si>
  <si>
    <t>FB531L</t>
  </si>
  <si>
    <t>レディス長袖シャツ</t>
  </si>
  <si>
    <t>FB533L</t>
  </si>
  <si>
    <t>レディース半袖カラーシャツ</t>
  </si>
  <si>
    <t>G0911</t>
  </si>
  <si>
    <t>ドライメッシュバイザー</t>
  </si>
  <si>
    <t>G0943</t>
  </si>
  <si>
    <t>レディースサンバイザー</t>
  </si>
  <si>
    <t>JP2100</t>
  </si>
  <si>
    <t>ヘインズユーロフィットメンズ</t>
  </si>
  <si>
    <t>スウェットパンツ（裏毛）</t>
  </si>
  <si>
    <t>ABO-41</t>
  </si>
  <si>
    <t>m'sProjectアメリカンメッシュキャップ</t>
  </si>
  <si>
    <t>ABO-44</t>
  </si>
  <si>
    <t>コットンバイザー</t>
  </si>
  <si>
    <t>AIR-010</t>
  </si>
  <si>
    <t>エアレットTシャツ</t>
  </si>
  <si>
    <t>AIR-040</t>
  </si>
  <si>
    <t>エアレット長袖ハイネックシャツ</t>
  </si>
  <si>
    <t>BG-100</t>
  </si>
  <si>
    <t>カーゴバッグ</t>
  </si>
  <si>
    <t>BST-229</t>
  </si>
  <si>
    <t>ビストロDEエプロン</t>
  </si>
  <si>
    <t>BST-329</t>
  </si>
  <si>
    <t>ビストロ・ミドルエプロン</t>
  </si>
  <si>
    <t>BST-429</t>
  </si>
  <si>
    <t>ビストロ・ロングエプロン</t>
  </si>
  <si>
    <t>BSY-480</t>
  </si>
  <si>
    <t>ワッシャーカジュアルエプロン</t>
  </si>
  <si>
    <t>CHN-1000</t>
  </si>
  <si>
    <t>ハーフコート</t>
  </si>
  <si>
    <t>CHN-3300</t>
  </si>
  <si>
    <t>スペクトコート</t>
  </si>
  <si>
    <t>CHN-550</t>
  </si>
  <si>
    <t>ナイロンベスト</t>
  </si>
  <si>
    <t>CHN-700</t>
  </si>
  <si>
    <t>m'sProjectブルゾン</t>
  </si>
  <si>
    <t>トレーナー（裏毛）日本製</t>
  </si>
  <si>
    <t>TRD-118</t>
  </si>
  <si>
    <t>トレンディエプロン</t>
  </si>
  <si>
    <t>VP-451</t>
  </si>
  <si>
    <t>T/Cちょうちん袖ポロシャツ</t>
  </si>
  <si>
    <t>PX-1010</t>
  </si>
  <si>
    <t>タフレックスパンツ</t>
  </si>
  <si>
    <t>R-1100</t>
  </si>
  <si>
    <t>ナイロンレインコート</t>
  </si>
  <si>
    <t>SS2000</t>
  </si>
  <si>
    <t>スーパースポーツブルゾン</t>
  </si>
  <si>
    <t>ST-990</t>
  </si>
  <si>
    <t>サテンハッピ</t>
  </si>
  <si>
    <t>TCM-065</t>
  </si>
  <si>
    <t>T/CハニカムメッシュTシャツ</t>
  </si>
  <si>
    <t>TCM-088</t>
  </si>
  <si>
    <t>T/Cハニカムメッシュ長袖Tシャツ</t>
  </si>
  <si>
    <t>TF-011</t>
  </si>
  <si>
    <t>テクノファイン２WAY　Tシャツ</t>
  </si>
  <si>
    <t>TF-022</t>
  </si>
  <si>
    <t>2WAYノースリーブシャツ</t>
  </si>
  <si>
    <t>TF-033</t>
  </si>
  <si>
    <t>2WAY長袖シャツ（ハイネック）</t>
  </si>
  <si>
    <t>TF-088</t>
  </si>
  <si>
    <t>テクノファイン２WAY　パワーショーツ</t>
  </si>
  <si>
    <t>TF-099</t>
  </si>
  <si>
    <t>2WAYロングスパッツ</t>
  </si>
  <si>
    <t>TFD-055</t>
  </si>
  <si>
    <t>テクノファインFDちょうちん半袖ポロシャツ</t>
  </si>
  <si>
    <t>TFD-077</t>
  </si>
  <si>
    <t>テクノファインFD長袖ポロシャツ</t>
  </si>
  <si>
    <t>TO-07</t>
  </si>
  <si>
    <t>トレーナー（裏毛）</t>
  </si>
  <si>
    <t>TP-770</t>
  </si>
  <si>
    <t>トロピカルハッピ</t>
  </si>
  <si>
    <t>MA3005</t>
  </si>
  <si>
    <t>後ろ釦エプロン</t>
  </si>
  <si>
    <t>MOST-906</t>
  </si>
  <si>
    <t>モストクールTシャツ</t>
  </si>
  <si>
    <t>MV-188</t>
  </si>
  <si>
    <t>メッシュベストアッパッパ</t>
  </si>
  <si>
    <t>MV-5</t>
  </si>
  <si>
    <t>124523U</t>
    <phoneticPr fontId="6"/>
  </si>
  <si>
    <t>チェックプリントポロシャツ　124523U</t>
    <phoneticPr fontId="6"/>
  </si>
  <si>
    <t>126005M</t>
    <phoneticPr fontId="6"/>
  </si>
  <si>
    <t>メンズチノパン　126005M</t>
    <phoneticPr fontId="6"/>
  </si>
  <si>
    <t>126305L</t>
    <phoneticPr fontId="6"/>
  </si>
  <si>
    <t>レディスチノパン　126305L</t>
    <phoneticPr fontId="6"/>
  </si>
  <si>
    <t>126703U</t>
    <phoneticPr fontId="6"/>
  </si>
  <si>
    <t>ユニセックスチノジャージ　126703U</t>
    <phoneticPr fontId="6"/>
  </si>
  <si>
    <t>134001L</t>
    <phoneticPr fontId="6"/>
  </si>
  <si>
    <t>レディスポロシャツ　134001L</t>
    <phoneticPr fontId="6"/>
  </si>
  <si>
    <t>134002L</t>
    <phoneticPr fontId="6"/>
  </si>
  <si>
    <t>レディスチュニックポロシャツ　134002L</t>
    <phoneticPr fontId="6"/>
  </si>
  <si>
    <t>134500U</t>
    <phoneticPr fontId="6"/>
  </si>
  <si>
    <t>ポロシャツ（ユニセックス）　134500U</t>
    <phoneticPr fontId="6"/>
  </si>
  <si>
    <t>ボディメーカー</t>
    <phoneticPr fontId="6"/>
  </si>
  <si>
    <t>3IDJF</t>
    <phoneticPr fontId="6"/>
  </si>
  <si>
    <t>ボディメーカー</t>
    <phoneticPr fontId="6"/>
  </si>
  <si>
    <t>ボディメーカー</t>
    <phoneticPr fontId="6"/>
  </si>
  <si>
    <t>3IDJJA</t>
    <phoneticPr fontId="6"/>
  </si>
  <si>
    <t>3IWDC</t>
    <phoneticPr fontId="6"/>
  </si>
  <si>
    <t>ボディメーカー</t>
    <phoneticPr fontId="6"/>
  </si>
  <si>
    <t>3IWDJJA</t>
    <phoneticPr fontId="6"/>
  </si>
  <si>
    <t>弊社使用欄</t>
    <rPh sb="0" eb="2">
      <t>ヘイシャ</t>
    </rPh>
    <rPh sb="2" eb="4">
      <t>シヨウ</t>
    </rPh>
    <rPh sb="4" eb="5">
      <t>ラン</t>
    </rPh>
    <phoneticPr fontId="6"/>
  </si>
  <si>
    <t>直送必須</t>
    <rPh sb="0" eb="2">
      <t>チョクソウ</t>
    </rPh>
    <rPh sb="2" eb="4">
      <t>ヒッス</t>
    </rPh>
    <phoneticPr fontId="6"/>
  </si>
  <si>
    <t>プラスワン搬入</t>
    <rPh sb="5" eb="7">
      <t>ハンニュウ</t>
    </rPh>
    <phoneticPr fontId="6"/>
  </si>
  <si>
    <t>商品コード</t>
    <rPh sb="0" eb="2">
      <t>ショウヒン</t>
    </rPh>
    <phoneticPr fontId="6"/>
  </si>
  <si>
    <t>数量</t>
    <rPh sb="0" eb="2">
      <t>スウリョウ</t>
    </rPh>
    <phoneticPr fontId="6"/>
  </si>
  <si>
    <t>通信欄：</t>
    <rPh sb="0" eb="3">
      <t>ツウシンラン</t>
    </rPh>
    <phoneticPr fontId="6"/>
  </si>
  <si>
    <t>加工依頼書（指示書）と異なる点がございましたら、お手数ではございますが弊社担当者までご一報下さい。</t>
    <rPh sb="0" eb="2">
      <t>カコウ</t>
    </rPh>
    <rPh sb="2" eb="5">
      <t>イライショ</t>
    </rPh>
    <rPh sb="6" eb="9">
      <t>シジショ</t>
    </rPh>
    <rPh sb="11" eb="12">
      <t>コト</t>
    </rPh>
    <rPh sb="14" eb="15">
      <t>テン</t>
    </rPh>
    <phoneticPr fontId="6"/>
  </si>
  <si>
    <t>21IDJF</t>
    <phoneticPr fontId="6"/>
  </si>
  <si>
    <t>ダウンフィーリングジャケット（フード取り外しタイプ）　21IDJF</t>
    <phoneticPr fontId="6"/>
  </si>
  <si>
    <t>21IDJJA</t>
    <phoneticPr fontId="6"/>
  </si>
  <si>
    <t>21IWDC</t>
    <phoneticPr fontId="6"/>
  </si>
  <si>
    <t>ダウンフィーリングハーフコートＷＯＭＥＮ　21IWDC</t>
    <phoneticPr fontId="6"/>
  </si>
  <si>
    <t xml:space="preserve">ダウンフィーリングジャケット（ストレッチングモデル）　21IDJJA
</t>
    <phoneticPr fontId="6"/>
  </si>
  <si>
    <t>21IWDJJA</t>
    <phoneticPr fontId="6"/>
  </si>
  <si>
    <t>ダウンフィーリングジャケットＷＯＭＥＮ（ストレッチングモデル）　21IWDJJA</t>
    <phoneticPr fontId="6"/>
  </si>
  <si>
    <t>21JBFJA1</t>
    <phoneticPr fontId="6"/>
  </si>
  <si>
    <t>3JBFJA1</t>
    <phoneticPr fontId="6"/>
  </si>
  <si>
    <t>ボアフリースジャケット１ 21JBFJA1</t>
    <phoneticPr fontId="6"/>
  </si>
  <si>
    <t>21JBFNW1</t>
    <phoneticPr fontId="6"/>
  </si>
  <si>
    <t>ボアフリースネックウォーマー（ロゴ刺繍） 21JBFNW1</t>
    <phoneticPr fontId="6"/>
  </si>
  <si>
    <t>3JBFNW1</t>
    <phoneticPr fontId="6"/>
  </si>
  <si>
    <t>21JBFPK1</t>
    <phoneticPr fontId="6"/>
  </si>
  <si>
    <t>3JBFPK1</t>
    <phoneticPr fontId="6"/>
  </si>
  <si>
    <t>ボアフリースパーカー１ 21JBFPK1</t>
    <phoneticPr fontId="6"/>
  </si>
  <si>
    <t>21JFNW2JA</t>
    <phoneticPr fontId="6"/>
  </si>
  <si>
    <t>3JFNW2JA</t>
    <phoneticPr fontId="6"/>
  </si>
  <si>
    <t>フリースネックウォーマー（アニマル） 21JFNW2JA</t>
    <phoneticPr fontId="6"/>
  </si>
  <si>
    <t>ボディメーカー</t>
    <phoneticPr fontId="6"/>
  </si>
  <si>
    <t>21JHPK1</t>
    <phoneticPr fontId="6"/>
  </si>
  <si>
    <t>3JHPK1</t>
    <phoneticPr fontId="6"/>
  </si>
  <si>
    <t>撥水スウェットプルオーバーフーディ 21JHPK1</t>
    <phoneticPr fontId="6"/>
  </si>
  <si>
    <t>ボディメーカー</t>
    <phoneticPr fontId="6"/>
  </si>
  <si>
    <t>21JHPK2</t>
    <phoneticPr fontId="6"/>
  </si>
  <si>
    <t>3JHPK2</t>
    <phoneticPr fontId="6"/>
  </si>
  <si>
    <t>撥水スウェットパーカー 21JHPK2</t>
    <phoneticPr fontId="6"/>
  </si>
  <si>
    <t>ボディメーカー</t>
    <phoneticPr fontId="6"/>
  </si>
  <si>
    <t>3JKPK1</t>
    <phoneticPr fontId="6"/>
  </si>
  <si>
    <t>21JKPK1</t>
    <phoneticPr fontId="6"/>
  </si>
  <si>
    <t>軽量ウィンドブレーカー１ 21JKPK1</t>
    <phoneticPr fontId="6"/>
  </si>
  <si>
    <t>21JPUJAB</t>
    <phoneticPr fontId="6"/>
  </si>
  <si>
    <t>3JPUJAB</t>
    <phoneticPr fontId="6"/>
  </si>
  <si>
    <t>ライダースキルトベスト１ 21JPUJAB</t>
    <phoneticPr fontId="6"/>
  </si>
  <si>
    <t>3JWBB2</t>
    <phoneticPr fontId="6"/>
  </si>
  <si>
    <t>21JWBB2</t>
    <phoneticPr fontId="6"/>
  </si>
  <si>
    <t>ボアフリースベスト２ＷＯＭＥＮ 21JWBB2</t>
    <phoneticPr fontId="6"/>
  </si>
  <si>
    <t>21JWBBT1</t>
    <phoneticPr fontId="6"/>
  </si>
  <si>
    <t>3JWBBT1</t>
    <phoneticPr fontId="6"/>
  </si>
  <si>
    <t>ボアフリースベスト１（チロリアンテープ）ＷＯＭＥＮ 21JWBBT1</t>
    <phoneticPr fontId="6"/>
  </si>
  <si>
    <t>21JWBBT3</t>
    <phoneticPr fontId="6"/>
  </si>
  <si>
    <t>3JWBBT3</t>
    <phoneticPr fontId="6"/>
  </si>
  <si>
    <t>ボアフリースベスト３フード（チロリアンテープ）ＷＯＭＥＮ 21JWBBT3</t>
    <phoneticPr fontId="6"/>
  </si>
  <si>
    <t>3JWBJAT1</t>
    <phoneticPr fontId="6"/>
  </si>
  <si>
    <t>21JWBJAT1</t>
    <phoneticPr fontId="6"/>
  </si>
  <si>
    <t>ボアフリースジャケット１（チロリアンテープ）ＷＯＭＥＮ 21JWBJAT1</t>
    <phoneticPr fontId="6"/>
  </si>
  <si>
    <t>21JWS</t>
    <phoneticPr fontId="6"/>
  </si>
  <si>
    <t>3JWS</t>
    <phoneticPr fontId="6"/>
  </si>
  <si>
    <t>ウォーミングアップスーツ（裏トリコット） 21JWS</t>
    <phoneticPr fontId="6"/>
  </si>
  <si>
    <t>TR-0639</t>
    <phoneticPr fontId="6"/>
  </si>
  <si>
    <t>デニムカレッジトート（Ｍ）</t>
    <phoneticPr fontId="6"/>
  </si>
  <si>
    <t>トレードワークス</t>
    <phoneticPr fontId="6"/>
  </si>
  <si>
    <t>TR-0632</t>
    <phoneticPr fontId="6"/>
  </si>
  <si>
    <t>厚手コットンバッグヘビーウェイト(L)マチ付</t>
    <phoneticPr fontId="6"/>
  </si>
  <si>
    <t>UZQ715</t>
    <phoneticPr fontId="6"/>
  </si>
  <si>
    <t>スタジアムジャンパー　UZQ715</t>
    <phoneticPr fontId="6"/>
  </si>
  <si>
    <t>TR-0627</t>
    <phoneticPr fontId="6"/>
  </si>
  <si>
    <t>TR-0627</t>
    <phoneticPr fontId="6"/>
  </si>
  <si>
    <t>コットンフラットワイドトート</t>
    <phoneticPr fontId="6"/>
  </si>
  <si>
    <t>透湿防水グローブ</t>
    <phoneticPr fontId="6"/>
  </si>
  <si>
    <t>ハンドウォーマー 84293</t>
    <phoneticPr fontId="6"/>
  </si>
  <si>
    <t>MS1603</t>
    <phoneticPr fontId="6"/>
  </si>
  <si>
    <t>Maximum　ドライロングスリーブTシャツ</t>
    <phoneticPr fontId="6"/>
  </si>
  <si>
    <t>ボディメーカー（㈱BB-SPORTS）</t>
    <phoneticPr fontId="6"/>
  </si>
  <si>
    <t>※キープ不可　※担当は白石様。発注は午前中FAXで翌日発送。（大阪より）</t>
    <rPh sb="4" eb="6">
      <t>フカ</t>
    </rPh>
    <rPh sb="8" eb="10">
      <t>タントウ</t>
    </rPh>
    <rPh sb="11" eb="13">
      <t>シライシ</t>
    </rPh>
    <rPh sb="13" eb="14">
      <t>サマ</t>
    </rPh>
    <rPh sb="15" eb="17">
      <t>ハッチュウ</t>
    </rPh>
    <rPh sb="18" eb="21">
      <t>ゴゼンチュウ</t>
    </rPh>
    <rPh sb="25" eb="27">
      <t>ヨクジツ</t>
    </rPh>
    <rPh sb="27" eb="29">
      <t>ハッソウ</t>
    </rPh>
    <rPh sb="31" eb="33">
      <t>オオサカ</t>
    </rPh>
    <phoneticPr fontId="6"/>
  </si>
  <si>
    <t>早め</t>
    <rPh sb="0" eb="1">
      <t>ハヤ</t>
    </rPh>
    <phoneticPr fontId="6"/>
  </si>
  <si>
    <t>不織布A4ファスナートート</t>
    <phoneticPr fontId="6"/>
  </si>
  <si>
    <t>TR-0557</t>
    <phoneticPr fontId="6"/>
  </si>
  <si>
    <t>TR-0557</t>
    <phoneticPr fontId="6"/>
  </si>
  <si>
    <t>TR-0275</t>
    <phoneticPr fontId="6"/>
  </si>
  <si>
    <t>TR-0275</t>
    <phoneticPr fontId="6"/>
  </si>
  <si>
    <t>コットンリネンフラットトート(M)</t>
    <phoneticPr fontId="6"/>
  </si>
  <si>
    <t>アームサポーター</t>
    <phoneticPr fontId="6"/>
  </si>
  <si>
    <t>5519-01</t>
    <phoneticPr fontId="6"/>
  </si>
  <si>
    <t>5519-01</t>
    <phoneticPr fontId="6"/>
  </si>
  <si>
    <t>5.0oz ボールドボーダーロングスリーブTシャツ</t>
    <phoneticPr fontId="6"/>
  </si>
  <si>
    <t>TR-0650</t>
    <phoneticPr fontId="6"/>
  </si>
  <si>
    <t>TR-0650</t>
    <phoneticPr fontId="6"/>
  </si>
  <si>
    <t>厚手キャンバスショルダートート（オーバル）</t>
    <phoneticPr fontId="6"/>
  </si>
  <si>
    <t>TR-0354</t>
    <phoneticPr fontId="6"/>
  </si>
  <si>
    <t>TR-0354</t>
    <phoneticPr fontId="6"/>
  </si>
  <si>
    <t>キャンバスハーベストトート</t>
    <phoneticPr fontId="6"/>
  </si>
  <si>
    <t>10.0oz.プルオーバーパーカー(T/C)</t>
    <phoneticPr fontId="6"/>
  </si>
  <si>
    <t>TR-0628</t>
    <phoneticPr fontId="6"/>
  </si>
  <si>
    <t>TR-0628</t>
    <phoneticPr fontId="6"/>
  </si>
  <si>
    <t>TR-0636</t>
    <phoneticPr fontId="6"/>
  </si>
  <si>
    <t>TR-0636</t>
    <phoneticPr fontId="6"/>
  </si>
  <si>
    <t>不織布フラットワイドトート</t>
    <phoneticPr fontId="6"/>
  </si>
  <si>
    <t>不織布A4セミナーバッグ</t>
    <phoneticPr fontId="6"/>
  </si>
  <si>
    <t>TR-0640</t>
    <phoneticPr fontId="6"/>
  </si>
  <si>
    <t>TR-0640</t>
    <phoneticPr fontId="6"/>
  </si>
  <si>
    <t>デニムカレッジトート（M）ワイド</t>
    <phoneticPr fontId="6"/>
  </si>
  <si>
    <t>TR-0392</t>
    <phoneticPr fontId="6"/>
  </si>
  <si>
    <t>TR-0392</t>
    <phoneticPr fontId="6"/>
  </si>
  <si>
    <t>キャンバスランチバッグ</t>
    <phoneticPr fontId="6"/>
  </si>
  <si>
    <t>TR-0566</t>
  </si>
  <si>
    <t>TR-0251</t>
  </si>
  <si>
    <t>メタリック不織布トート(M)ワイド</t>
    <phoneticPr fontId="6"/>
  </si>
  <si>
    <t>ユーティリティバッグ（S）ワイド</t>
    <phoneticPr fontId="6"/>
  </si>
  <si>
    <t>TR-0543</t>
    <phoneticPr fontId="6"/>
  </si>
  <si>
    <t>TR-0543</t>
    <phoneticPr fontId="6"/>
  </si>
  <si>
    <t>保冷デイリートート(M)</t>
    <phoneticPr fontId="6"/>
  </si>
  <si>
    <t>TR-0515</t>
    <phoneticPr fontId="6"/>
  </si>
  <si>
    <t>TR-0515</t>
    <phoneticPr fontId="6"/>
  </si>
  <si>
    <t>デニムトート(S)</t>
    <phoneticPr fontId="6"/>
  </si>
  <si>
    <t>防風ウォームジャケット</t>
    <phoneticPr fontId="6"/>
  </si>
  <si>
    <t>ヘリンボーン続服</t>
    <phoneticPr fontId="6"/>
  </si>
  <si>
    <t>ヒッコリー続服</t>
    <phoneticPr fontId="6"/>
  </si>
  <si>
    <t>TR-0648</t>
    <phoneticPr fontId="6"/>
  </si>
  <si>
    <t>TR-0648</t>
    <phoneticPr fontId="6"/>
  </si>
  <si>
    <t>厚手キャンバスパイプハンドルトート</t>
    <phoneticPr fontId="6"/>
  </si>
  <si>
    <t>MTR9194</t>
    <phoneticPr fontId="6"/>
  </si>
  <si>
    <t>MTR9194</t>
    <phoneticPr fontId="6"/>
  </si>
  <si>
    <t>チームUAポロシャツ</t>
    <phoneticPr fontId="6"/>
  </si>
  <si>
    <t>AE20</t>
    <phoneticPr fontId="6"/>
  </si>
  <si>
    <t>AE20</t>
    <phoneticPr fontId="6"/>
  </si>
  <si>
    <t>AE22</t>
    <phoneticPr fontId="6"/>
  </si>
  <si>
    <t>AE22</t>
    <phoneticPr fontId="6"/>
  </si>
  <si>
    <t>babyfude-wa</t>
    <phoneticPr fontId="6"/>
  </si>
  <si>
    <t>babyfude-yo</t>
    <phoneticPr fontId="6"/>
  </si>
  <si>
    <t>babyfude-yo</t>
    <phoneticPr fontId="6"/>
  </si>
  <si>
    <t>川田工業</t>
    <phoneticPr fontId="6"/>
  </si>
  <si>
    <t xml:space="preserve">川田工業株式会社
</t>
    <phoneticPr fontId="6"/>
  </si>
  <si>
    <t xml:space="preserve">アルバムえほん
</t>
    <phoneticPr fontId="6"/>
  </si>
  <si>
    <t xml:space="preserve">株式会社アルバムえほん
</t>
    <phoneticPr fontId="6"/>
  </si>
  <si>
    <t xml:space="preserve">光文堂
</t>
    <phoneticPr fontId="6"/>
  </si>
  <si>
    <t xml:space="preserve">光文堂
</t>
    <phoneticPr fontId="6"/>
  </si>
  <si>
    <t xml:space="preserve">株式会社光文堂
</t>
    <phoneticPr fontId="6"/>
  </si>
  <si>
    <t xml:space="preserve">株式会社光文堂
</t>
    <phoneticPr fontId="6"/>
  </si>
  <si>
    <t>m'sProject　T/C長袖ポロシャツ</t>
    <phoneticPr fontId="6"/>
  </si>
  <si>
    <t>5900-02</t>
    <phoneticPr fontId="6"/>
  </si>
  <si>
    <t>5900-02</t>
    <phoneticPr fontId="6"/>
  </si>
  <si>
    <t>4.1ozドライTシャツ（キッズ）</t>
    <phoneticPr fontId="6"/>
  </si>
  <si>
    <t>5910-01</t>
    <phoneticPr fontId="6"/>
  </si>
  <si>
    <t>4.1ozドライポロシャツ</t>
    <phoneticPr fontId="6"/>
  </si>
  <si>
    <t>フリーストレッチハーフスリーブシャツ</t>
    <phoneticPr fontId="6"/>
  </si>
  <si>
    <t>DN-7463</t>
    <phoneticPr fontId="6"/>
  </si>
  <si>
    <t>DN-7463</t>
    <phoneticPr fontId="6"/>
  </si>
  <si>
    <t>和風パンツ(男女兼用）</t>
    <phoneticPr fontId="6"/>
  </si>
  <si>
    <t>AG-3</t>
    <phoneticPr fontId="6"/>
  </si>
  <si>
    <t>LIVIMODE チュニック【男】AG-3</t>
    <phoneticPr fontId="6"/>
  </si>
  <si>
    <t>※担当は甲斐様。発注は午前中FAXで当日発送。千葉からなので翌日着希望の場合はヤマト指定で。</t>
    <rPh sb="1" eb="3">
      <t>タントウ</t>
    </rPh>
    <rPh sb="4" eb="6">
      <t>カイ</t>
    </rPh>
    <rPh sb="6" eb="7">
      <t>サマ</t>
    </rPh>
    <rPh sb="11" eb="14">
      <t>ゴゼンチュウ</t>
    </rPh>
    <rPh sb="18" eb="20">
      <t>トウジツ</t>
    </rPh>
    <rPh sb="23" eb="25">
      <t>チバ</t>
    </rPh>
    <rPh sb="30" eb="32">
      <t>ヨクジツ</t>
    </rPh>
    <rPh sb="32" eb="33">
      <t>チャク</t>
    </rPh>
    <rPh sb="33" eb="35">
      <t>キボウ</t>
    </rPh>
    <rPh sb="36" eb="38">
      <t>バアイ</t>
    </rPh>
    <rPh sb="42" eb="44">
      <t>シテイ</t>
    </rPh>
    <phoneticPr fontId="6"/>
  </si>
  <si>
    <t>Jentle-30</t>
    <phoneticPr fontId="6"/>
  </si>
  <si>
    <t>Jentle-36</t>
    <phoneticPr fontId="6"/>
  </si>
  <si>
    <t>日本製Ｔシャツ（30番手）【ル・ウィナー】</t>
    <phoneticPr fontId="6"/>
  </si>
  <si>
    <t>日本製スリムＴシャツ（36番手）【セイ・ヤング】</t>
    <phoneticPr fontId="6"/>
  </si>
  <si>
    <t>5037-01</t>
    <phoneticPr fontId="11"/>
  </si>
  <si>
    <t>10.0ozスウェットダンスパンツ</t>
    <phoneticPr fontId="11"/>
  </si>
  <si>
    <t>5036-01</t>
    <phoneticPr fontId="11"/>
  </si>
  <si>
    <t>10.0ozスウェットダンスハーフパンツ</t>
    <phoneticPr fontId="11"/>
  </si>
  <si>
    <t>1272-01</t>
    <phoneticPr fontId="11"/>
  </si>
  <si>
    <t>Ｎ/Ｃファティーグロングスリーブシャツ</t>
    <phoneticPr fontId="11"/>
  </si>
  <si>
    <t>1274-01</t>
    <phoneticPr fontId="11"/>
  </si>
  <si>
    <t>クールマックスボタンダウンショートスリーブチェックシャツ</t>
    <phoneticPr fontId="11"/>
  </si>
  <si>
    <t>00187-NHP</t>
    <phoneticPr fontId="11"/>
  </si>
  <si>
    <t>スタンダードスウェットハーフパンツ</t>
    <phoneticPr fontId="11"/>
  </si>
  <si>
    <t>00047-UC</t>
    <phoneticPr fontId="11"/>
  </si>
  <si>
    <t>ユーティリティーコート</t>
    <phoneticPr fontId="11"/>
  </si>
  <si>
    <t>00057-SSJ</t>
    <phoneticPr fontId="11"/>
  </si>
  <si>
    <t>スタジアムジャンパー</t>
    <phoneticPr fontId="11"/>
  </si>
  <si>
    <t>00850-DZ</t>
    <phoneticPr fontId="11"/>
  </si>
  <si>
    <t>(プリントスター)ドリズラー</t>
    <phoneticPr fontId="11"/>
  </si>
  <si>
    <t>カーゴパンツ　188</t>
    <phoneticPr fontId="11"/>
  </si>
  <si>
    <t>桑和</t>
    <rPh sb="0" eb="2">
      <t>ソ</t>
    </rPh>
    <phoneticPr fontId="11"/>
  </si>
  <si>
    <t>スラックス　189</t>
    <phoneticPr fontId="11"/>
  </si>
  <si>
    <t>カーゴパンツ　570</t>
    <phoneticPr fontId="11"/>
  </si>
  <si>
    <t>カーゴパンツ　578</t>
    <phoneticPr fontId="11"/>
  </si>
  <si>
    <t>スラックス　579</t>
    <phoneticPr fontId="11"/>
  </si>
  <si>
    <t>スラックス　539</t>
    <phoneticPr fontId="11"/>
  </si>
  <si>
    <t>カーゴパンツ　538</t>
    <phoneticPr fontId="11"/>
  </si>
  <si>
    <t>スラックス　619</t>
    <phoneticPr fontId="11"/>
  </si>
  <si>
    <t>革ベルト　10074</t>
    <rPh sb="0" eb="1">
      <t>カワ</t>
    </rPh>
    <phoneticPr fontId="11"/>
  </si>
  <si>
    <t>長袖ブルゾン　183</t>
    <rPh sb="0" eb="2">
      <t>ナガソデ</t>
    </rPh>
    <phoneticPr fontId="11"/>
  </si>
  <si>
    <t>長袖ブルゾン　573</t>
    <rPh sb="0" eb="2">
      <t>ナガソデ</t>
    </rPh>
    <phoneticPr fontId="11"/>
  </si>
  <si>
    <t>長袖シャツ　575</t>
    <rPh sb="0" eb="2">
      <t>ナガソデ</t>
    </rPh>
    <phoneticPr fontId="11"/>
  </si>
  <si>
    <t>半袖ブルゾン　191</t>
    <rPh sb="0" eb="2">
      <t>ハンソデ</t>
    </rPh>
    <phoneticPr fontId="11"/>
  </si>
  <si>
    <t>長袖ブルゾン　193</t>
    <rPh sb="0" eb="2">
      <t>ナガソデ</t>
    </rPh>
    <phoneticPr fontId="11"/>
  </si>
  <si>
    <t>半袖ブルゾン　611</t>
    <rPh sb="0" eb="2">
      <t>ハンソデ</t>
    </rPh>
    <phoneticPr fontId="11"/>
  </si>
  <si>
    <t>長袖ブルゾン　723</t>
    <rPh sb="0" eb="2">
      <t>ナガソデ</t>
    </rPh>
    <phoneticPr fontId="11"/>
  </si>
  <si>
    <t>長袖シャツ　615</t>
    <rPh sb="0" eb="2">
      <t>ナガソデ</t>
    </rPh>
    <phoneticPr fontId="11"/>
  </si>
  <si>
    <t>半袖シャツ　617</t>
    <rPh sb="0" eb="2">
      <t>ハンソデ</t>
    </rPh>
    <phoneticPr fontId="11"/>
  </si>
  <si>
    <t>半袖ブルゾン　721</t>
    <rPh sb="0" eb="2">
      <t>ハンソデ</t>
    </rPh>
    <phoneticPr fontId="11"/>
  </si>
  <si>
    <t>半袖シャツ　727</t>
    <rPh sb="0" eb="2">
      <t>ハンソデ</t>
    </rPh>
    <phoneticPr fontId="11"/>
  </si>
  <si>
    <t>女子長袖スモック　612</t>
    <rPh sb="0" eb="2">
      <t>ジョシ</t>
    </rPh>
    <rPh sb="2" eb="4">
      <t>ナガソデ</t>
    </rPh>
    <phoneticPr fontId="11"/>
  </si>
  <si>
    <t>女子半袖スモック　614</t>
    <rPh sb="0" eb="2">
      <t>ジョシ</t>
    </rPh>
    <rPh sb="2" eb="4">
      <t>ハンソデ</t>
    </rPh>
    <phoneticPr fontId="11"/>
  </si>
  <si>
    <t>スラックス　199</t>
    <phoneticPr fontId="11"/>
  </si>
  <si>
    <t>カーゴパンツ　198</t>
    <phoneticPr fontId="11"/>
  </si>
  <si>
    <t>(株)トレードワークス　≪鹿仁島様≫</t>
    <rPh sb="0" eb="3">
      <t>カブ</t>
    </rPh>
    <rPh sb="13" eb="16">
      <t>カニシマ</t>
    </rPh>
    <rPh sb="16" eb="17">
      <t>サマ</t>
    </rPh>
    <phoneticPr fontId="3"/>
  </si>
  <si>
    <t>(株)トレードワークス　≪鹿仁島様≫</t>
    <rPh sb="13" eb="14">
      <t>シカ</t>
    </rPh>
    <rPh sb="14" eb="15">
      <t>ジン</t>
    </rPh>
    <rPh sb="15" eb="16">
      <t>シマ</t>
    </rPh>
    <phoneticPr fontId="6"/>
  </si>
  <si>
    <t>トレードワークス</t>
    <phoneticPr fontId="6"/>
  </si>
  <si>
    <t>5146-02</t>
    <phoneticPr fontId="6"/>
  </si>
  <si>
    <t>5.0ozベイビーロングスリーブロンパース</t>
    <phoneticPr fontId="6"/>
  </si>
  <si>
    <t>WashFactory　サンドウｫッシュTシャツ</t>
    <phoneticPr fontId="6"/>
  </si>
  <si>
    <t>WashFactory　VネックポケットサンドウォッシュTシャツ</t>
    <phoneticPr fontId="6"/>
  </si>
  <si>
    <t>エースプリント(株)</t>
    <phoneticPr fontId="6"/>
  </si>
  <si>
    <t>WashFactory　VネックディップダイTシャツ</t>
    <phoneticPr fontId="6"/>
  </si>
  <si>
    <t>WashFactory　VネックポケットピグメントダイTシャツ</t>
    <phoneticPr fontId="6"/>
  </si>
  <si>
    <t>5055-01</t>
    <phoneticPr fontId="6"/>
  </si>
  <si>
    <t>5055-01</t>
    <phoneticPr fontId="6"/>
  </si>
  <si>
    <t>5.3ozドライCVCラインポロシャツ</t>
    <phoneticPr fontId="6"/>
  </si>
  <si>
    <t>MJ0064</t>
    <phoneticPr fontId="6"/>
  </si>
  <si>
    <t>ハイブリッドジャケット</t>
    <phoneticPr fontId="6"/>
  </si>
  <si>
    <t>AG-16</t>
    <phoneticPr fontId="6"/>
  </si>
  <si>
    <t>AG-16</t>
    <phoneticPr fontId="6"/>
  </si>
  <si>
    <t>LIVEMODE チュニック【男女兼用】AG-16</t>
    <phoneticPr fontId="6"/>
  </si>
  <si>
    <t>TO-08</t>
    <phoneticPr fontId="6"/>
  </si>
  <si>
    <t>TO-08</t>
    <phoneticPr fontId="6"/>
  </si>
  <si>
    <t>m'sPROJECT 七分袖トレーナー（裏毛）</t>
    <phoneticPr fontId="6"/>
  </si>
  <si>
    <t>UZQ711E</t>
    <phoneticPr fontId="6"/>
  </si>
  <si>
    <t>UZQ711E</t>
    <phoneticPr fontId="6"/>
  </si>
  <si>
    <t>ニットシャツUZQ711E 【男女兼用】</t>
    <phoneticPr fontId="6"/>
  </si>
  <si>
    <t>スラックス　5779</t>
    <phoneticPr fontId="6"/>
  </si>
  <si>
    <t xml:space="preserve"> 〒615-0932　京都府京都市右京区梅津上田町10-8</t>
  </si>
  <si>
    <t xml:space="preserve"> 〒615-0932　京都府京都市右京区梅津上田町10-8</t>
    <phoneticPr fontId="6"/>
  </si>
  <si>
    <t>※FAX075-935-5575</t>
    <phoneticPr fontId="6"/>
  </si>
  <si>
    <t>090-9690-6916</t>
  </si>
  <si>
    <t>090-9690-6916</t>
    <phoneticPr fontId="6"/>
  </si>
  <si>
    <t>ヴィンテージクラシックフルジップフーデッドスウェットシャツ</t>
    <phoneticPr fontId="6"/>
  </si>
  <si>
    <t>7065-01</t>
    <phoneticPr fontId="6"/>
  </si>
  <si>
    <t>ナイロンスタンドリフレクトジャケット</t>
    <phoneticPr fontId="6"/>
  </si>
  <si>
    <t>商品コード</t>
  </si>
  <si>
    <t>商品名</t>
  </si>
  <si>
    <t>TS-0012</t>
  </si>
  <si>
    <t>スカッシュボールペン</t>
  </si>
  <si>
    <t>TS-0044</t>
  </si>
  <si>
    <t>3色＋1色ボールペン</t>
  </si>
  <si>
    <t>TS-0160</t>
  </si>
  <si>
    <t>メタリック4アクションペン（ケースつき）</t>
  </si>
  <si>
    <t>TS-0259</t>
  </si>
  <si>
    <t>マルチメモ</t>
  </si>
  <si>
    <t>TS-0311</t>
  </si>
  <si>
    <t>トップソーラーカリキュレーター</t>
  </si>
  <si>
    <t>TS-0326</t>
  </si>
  <si>
    <t>メタルプレートキーホルダー</t>
  </si>
  <si>
    <t>TS-0333</t>
  </si>
  <si>
    <t>牛革フリースタイルストラップ</t>
  </si>
  <si>
    <t>TS-0372</t>
  </si>
  <si>
    <t>牛革IDカードホルダー（ネックストラップ付き）</t>
  </si>
  <si>
    <t>TS-0374</t>
  </si>
  <si>
    <t>マグネティックマルチメモ（L）</t>
  </si>
  <si>
    <t>TS-0379</t>
  </si>
  <si>
    <t>ポケットミニ付箋</t>
  </si>
  <si>
    <t>TS-0392</t>
  </si>
  <si>
    <t>4ウェイクロック　version2</t>
  </si>
  <si>
    <t>TS-0431</t>
  </si>
  <si>
    <t>色箸(滑り止め付)</t>
  </si>
  <si>
    <t>TS-0460</t>
  </si>
  <si>
    <t>メッセージフィルム付箋</t>
  </si>
  <si>
    <t>TS-0474</t>
  </si>
  <si>
    <t>カスタムデザインタンブラーSC 300ml</t>
  </si>
  <si>
    <t>TS-0475</t>
  </si>
  <si>
    <t>カスタムデザインタンブラーPT 350ml</t>
  </si>
  <si>
    <t>TS-0476</t>
  </si>
  <si>
    <t>カスタムデザインタンブラーPT 500ml</t>
  </si>
  <si>
    <t>TS-0485</t>
  </si>
  <si>
    <t>A5クラフトリングノート</t>
  </si>
  <si>
    <t>TS-0487</t>
  </si>
  <si>
    <t>A6リングノート</t>
  </si>
  <si>
    <t>TS-0489</t>
  </si>
  <si>
    <t>ニュースペーパーカラーペンシル</t>
  </si>
  <si>
    <t>TS-0498</t>
  </si>
  <si>
    <t>A6クラフトリングノート</t>
  </si>
  <si>
    <t>TS-0507</t>
  </si>
  <si>
    <t>アロマストラップ</t>
  </si>
  <si>
    <t>TS-0510</t>
  </si>
  <si>
    <t>デザインマグ</t>
  </si>
  <si>
    <t>TS-0516</t>
  </si>
  <si>
    <t>リウォームカイロ(ハート)</t>
  </si>
  <si>
    <t>TS-0517</t>
  </si>
  <si>
    <t>リウォームカイロ(スクエア)</t>
  </si>
  <si>
    <t>TS-0518</t>
  </si>
  <si>
    <t>超軽量コンパクト折りたたみ傘</t>
  </si>
  <si>
    <t>TS-0520</t>
  </si>
  <si>
    <t>UV折りたたみ傘</t>
  </si>
  <si>
    <t>TS-0556</t>
  </si>
  <si>
    <t>ミニ付箋キーホルダー(ハート)</t>
  </si>
  <si>
    <t>TS-0557</t>
  </si>
  <si>
    <t>ミニ付箋キーホルダー(コメント)</t>
  </si>
  <si>
    <t>TS-0558</t>
  </si>
  <si>
    <t>ミニ付箋キーホルダー(ポイント)</t>
  </si>
  <si>
    <t>TS-0561</t>
  </si>
  <si>
    <t>アイコン4WAYバスクロック</t>
  </si>
  <si>
    <t>TS-0574</t>
  </si>
  <si>
    <t>デイリータンブラー</t>
  </si>
  <si>
    <t>TS-0576</t>
  </si>
  <si>
    <t>スリーフェイスペン</t>
  </si>
  <si>
    <t>TS-0594</t>
  </si>
  <si>
    <t>オーダーメイドタンブラー（300ml）</t>
  </si>
  <si>
    <t>TS-0611</t>
  </si>
  <si>
    <t>5インデックスファイル(M)</t>
  </si>
  <si>
    <t>TS-0613</t>
  </si>
  <si>
    <t>メラミンコンビカラーマグ</t>
  </si>
  <si>
    <t>TS-0615</t>
  </si>
  <si>
    <t>カスタムデザインスリムマグ（280ml）</t>
  </si>
  <si>
    <t>TS-0616</t>
  </si>
  <si>
    <t>カスタムデザインタンブラーFC（350ml</t>
  </si>
  <si>
    <t>TS-0617</t>
  </si>
  <si>
    <t>カスタムデザインタンブラーFC 500ml</t>
  </si>
  <si>
    <t>TS-0654</t>
  </si>
  <si>
    <t>GOKAKU鉛筆</t>
  </si>
  <si>
    <t>TS-0655</t>
  </si>
  <si>
    <t>ラペルボールペン</t>
  </si>
  <si>
    <t>TS-0656</t>
  </si>
  <si>
    <t xml:space="preserve">GOKAKUマークシートシャーペン </t>
  </si>
  <si>
    <t>TS-0662</t>
  </si>
  <si>
    <t>ベーシックタンブラー</t>
  </si>
  <si>
    <t>TS-0663</t>
  </si>
  <si>
    <t>4色カラーグリップボールペン</t>
  </si>
  <si>
    <t>TS-0700</t>
  </si>
  <si>
    <t>オーバルランチボックス</t>
  </si>
  <si>
    <t>TS-0707</t>
  </si>
  <si>
    <t>ストーンペーパーメモ（ケース付き）</t>
  </si>
  <si>
    <t>TS-0729</t>
  </si>
  <si>
    <t>ポータブルミストシャワー</t>
  </si>
  <si>
    <t>TS-0731</t>
  </si>
  <si>
    <t>クールスカーフ</t>
  </si>
  <si>
    <t>TS-0732</t>
  </si>
  <si>
    <t>ミストファン　ボトル</t>
  </si>
  <si>
    <t>TS-0744</t>
  </si>
  <si>
    <t>リフォームマグ</t>
  </si>
  <si>
    <t>TS-0751</t>
  </si>
  <si>
    <t>ステンレスタンブラー</t>
  </si>
  <si>
    <t>TM-0029</t>
  </si>
  <si>
    <t>フロストスクエアミラー(L)</t>
  </si>
  <si>
    <t>TK-0064</t>
  </si>
  <si>
    <t>ポップミラー&amp;油取り紙</t>
  </si>
  <si>
    <t>TR-0101</t>
  </si>
  <si>
    <t>キャンバストート（L）</t>
  </si>
  <si>
    <t>TR-0102</t>
  </si>
  <si>
    <t>コットンバッグM</t>
  </si>
  <si>
    <t>TR-0105</t>
  </si>
  <si>
    <t>キャンバストート（M）</t>
  </si>
  <si>
    <t>TR-0106</t>
  </si>
  <si>
    <t>ユーティリティバッグコンビ（M）</t>
  </si>
  <si>
    <t>TR-0107</t>
  </si>
  <si>
    <t>ユーティリティバッグコンビ（L）</t>
  </si>
  <si>
    <t>TR-0107-</t>
  </si>
  <si>
    <t>ユーティリティバッグ（L）</t>
  </si>
  <si>
    <t>TR-0125</t>
  </si>
  <si>
    <t>キャンバストート（S）</t>
  </si>
  <si>
    <t>TR-0126</t>
  </si>
  <si>
    <t>マルチトート</t>
  </si>
  <si>
    <t>TR-0128</t>
  </si>
  <si>
    <t>A4コットンバッグ</t>
  </si>
  <si>
    <t>TR-0133</t>
  </si>
  <si>
    <t>アクティブシューズケース</t>
  </si>
  <si>
    <t>TR-0136</t>
  </si>
  <si>
    <t>コンパクトバッグ</t>
  </si>
  <si>
    <t>TR-0138</t>
  </si>
  <si>
    <t>ユーティリティバッグコンビ（M）横型</t>
  </si>
  <si>
    <t>TR-0139</t>
  </si>
  <si>
    <t>ユーティリティバッグコンビ（L）横型</t>
  </si>
  <si>
    <t>TR-0140</t>
  </si>
  <si>
    <t>ミニコンビトート</t>
  </si>
  <si>
    <t>TR-0146</t>
  </si>
  <si>
    <t>厚手コットンバッグヘビーウェイト(L)</t>
  </si>
  <si>
    <t>TR-0148</t>
  </si>
  <si>
    <t>ユーティリティバッグコンビ（S）横型</t>
  </si>
  <si>
    <t>TR-0149</t>
  </si>
  <si>
    <t>カラーライントート</t>
  </si>
  <si>
    <t>TR-0178</t>
  </si>
  <si>
    <t>キャンバスベーカリートート</t>
  </si>
  <si>
    <t>TR-0179</t>
  </si>
  <si>
    <t>キャンパスカレッジトート</t>
  </si>
  <si>
    <t>TR-0180</t>
  </si>
  <si>
    <t>キャンバスカレッジトート（M）ワイド</t>
  </si>
  <si>
    <t>TR-0182</t>
  </si>
  <si>
    <t>ベーシックファスナートート（L）</t>
  </si>
  <si>
    <t>TR-0198</t>
  </si>
  <si>
    <t>コットンバッグMパステル</t>
  </si>
  <si>
    <t>TR-0225</t>
  </si>
  <si>
    <t>リサイクルパーソナルバッグ</t>
  </si>
  <si>
    <t>TR-0233</t>
  </si>
  <si>
    <t>エナメルユーティリティバッグ</t>
  </si>
  <si>
    <t>TR-0248</t>
  </si>
  <si>
    <t>キャンバストートパステル（M）</t>
  </si>
  <si>
    <t>TR-0252</t>
  </si>
  <si>
    <t>ユーティリティバッグコンビ（S）</t>
  </si>
  <si>
    <t>TR-0254</t>
  </si>
  <si>
    <t>コンビカラート－ト</t>
  </si>
  <si>
    <t>TR-0269</t>
  </si>
  <si>
    <t>ミニエナメルユーティティバッグ</t>
  </si>
  <si>
    <t>TR-0278</t>
  </si>
  <si>
    <t>MARKLESS　STYLE　キャンバスブックカバー</t>
  </si>
  <si>
    <t>TR-0294</t>
  </si>
  <si>
    <t>コットン巾着（L）</t>
  </si>
  <si>
    <t>TR-0314</t>
  </si>
  <si>
    <t>キャンバストート（M）マルチストライプ</t>
  </si>
  <si>
    <t>TR-0316</t>
  </si>
  <si>
    <t>キャンバストート（M）ドット</t>
  </si>
  <si>
    <t>TR-0332</t>
  </si>
  <si>
    <t>コットンツイルトート（M）</t>
  </si>
  <si>
    <t>TR-0333</t>
  </si>
  <si>
    <t>コットンツイルトート（L）</t>
  </si>
  <si>
    <t>TR-0335</t>
  </si>
  <si>
    <t>横マチ付厚手コットンバッグ（L）</t>
  </si>
  <si>
    <t>TR-0336</t>
  </si>
  <si>
    <t>厚手コットンバッグヘビーウェイト(S）</t>
  </si>
  <si>
    <t>TR-0337</t>
  </si>
  <si>
    <t>厚手コットンバック　ヘビーウェイト（M）</t>
  </si>
  <si>
    <t>TR-0338</t>
  </si>
  <si>
    <t>キャンバストート（S）リング</t>
  </si>
  <si>
    <t>TR-0339</t>
  </si>
  <si>
    <t>キャンバストート（S）ナッツ</t>
  </si>
  <si>
    <t>TR-0342</t>
  </si>
  <si>
    <t>キャンバストート（M）リング</t>
  </si>
  <si>
    <t>TR-0343</t>
  </si>
  <si>
    <t>キャンバストート（M）ナッツ</t>
  </si>
  <si>
    <t>TR-0346</t>
  </si>
  <si>
    <t>ナイロンお買い物バッグ（S）</t>
  </si>
  <si>
    <t>TR-0347</t>
  </si>
  <si>
    <t>ナイロンお買い物バッグ（M）</t>
  </si>
  <si>
    <t>TR-0348</t>
  </si>
  <si>
    <t>ナイロンお買い物バッグ（L）</t>
  </si>
  <si>
    <t>TR-0349</t>
  </si>
  <si>
    <t>ナイロンライトバッグ</t>
  </si>
  <si>
    <t>TR-0357</t>
  </si>
  <si>
    <t>キャンバストート（S）クローバー</t>
  </si>
  <si>
    <t>TR-0359</t>
  </si>
  <si>
    <t>キャンバストート（M）クローバー</t>
  </si>
  <si>
    <t>TR-0360</t>
  </si>
  <si>
    <t>キャンバストート（M）キッチン</t>
  </si>
  <si>
    <t>TR-0361</t>
  </si>
  <si>
    <t>プリントお買い物バッグ（ツリー）</t>
  </si>
  <si>
    <t>TR-0362</t>
  </si>
  <si>
    <t>プリントお買い物バッグ（クローバー）</t>
  </si>
  <si>
    <t>TR-0365</t>
  </si>
  <si>
    <t>プリントお買い物バッグ（アクア）</t>
  </si>
  <si>
    <t>TR-0369</t>
  </si>
  <si>
    <t>コンパクトストアトート</t>
  </si>
  <si>
    <t>TR-0386</t>
  </si>
  <si>
    <t>コットンリネントート</t>
  </si>
  <si>
    <t>TR-0387</t>
  </si>
  <si>
    <t>コットンリネンフラットトート</t>
  </si>
  <si>
    <t>TR-0407</t>
  </si>
  <si>
    <t>コットンナチュラルショルダートート</t>
  </si>
  <si>
    <t>TR-0409</t>
  </si>
  <si>
    <t>キャンバスファームトート</t>
  </si>
  <si>
    <t>TR-0411</t>
  </si>
  <si>
    <t>ユーティリティバッグ（LL）ワイド</t>
  </si>
  <si>
    <t>TR-0412</t>
  </si>
  <si>
    <t>キャンバスカレッジトート（L）ワイド</t>
  </si>
  <si>
    <t>TR-0416</t>
  </si>
  <si>
    <t>ウォッシャブルキャリングトート（M）</t>
  </si>
  <si>
    <t>TR-0417</t>
  </si>
  <si>
    <t>ウォッシャブルキャリングトート（L）</t>
  </si>
  <si>
    <t>TR-0419</t>
  </si>
  <si>
    <t>巻紐付き箸袋</t>
  </si>
  <si>
    <t>TR-0422</t>
  </si>
  <si>
    <t>キャンバスガーデントート(M)</t>
  </si>
  <si>
    <t>TR-0431</t>
  </si>
  <si>
    <t>不織布ブックカバー</t>
  </si>
  <si>
    <t>TR-0433</t>
  </si>
  <si>
    <t>不織布ミニバッグ</t>
  </si>
  <si>
    <t>TR-0434</t>
  </si>
  <si>
    <t>不織布スタンダードバッグ</t>
  </si>
  <si>
    <t>TR-0435</t>
  </si>
  <si>
    <t>不織布フラットトート</t>
  </si>
  <si>
    <t>TR-0436</t>
  </si>
  <si>
    <t>不織布スクエアトート</t>
  </si>
  <si>
    <t>TR-0440</t>
  </si>
  <si>
    <t>グロッシーポーチ（S）</t>
  </si>
  <si>
    <t>TR-0441</t>
  </si>
  <si>
    <t>グロッシーポーチ（L）</t>
  </si>
  <si>
    <t>TR-0442</t>
  </si>
  <si>
    <t>グロッシーフラットポーチ</t>
  </si>
  <si>
    <t>TR-0465</t>
  </si>
  <si>
    <t>コットンツイルブックカバー</t>
  </si>
  <si>
    <t>TR-0470</t>
  </si>
  <si>
    <t>オゾン漂白バック(M)</t>
  </si>
  <si>
    <t>TR-0475</t>
  </si>
  <si>
    <t>キャンバスバイカラートート</t>
  </si>
  <si>
    <t>TR-0477</t>
  </si>
  <si>
    <t>彩綿トート(S)</t>
  </si>
  <si>
    <t>TR-0481</t>
  </si>
  <si>
    <t>キャンバスリバーシブルバッグ</t>
  </si>
  <si>
    <t>TR-0484</t>
  </si>
  <si>
    <t>ミニガーゼタオル</t>
  </si>
  <si>
    <t>TR-0499</t>
  </si>
  <si>
    <t>不織布セレモニートート</t>
  </si>
  <si>
    <t>TR-0524</t>
  </si>
  <si>
    <t>不織布バイカラーバッグ（L）</t>
  </si>
  <si>
    <t>TR-0525</t>
  </si>
  <si>
    <t>不織布バイカラーバッグ（S）</t>
  </si>
  <si>
    <t>TR-0526</t>
  </si>
  <si>
    <t>不織布イベントバッグ</t>
  </si>
  <si>
    <t>TR-0527</t>
  </si>
  <si>
    <t>不織布プロモーションバッグ</t>
  </si>
  <si>
    <t>TR-0550</t>
  </si>
  <si>
    <t>クリスタルチャームキーホルダー</t>
  </si>
  <si>
    <t>TR150</t>
  </si>
  <si>
    <t>トライセイルライトTシャツ</t>
  </si>
  <si>
    <t>MF-HT</t>
  </si>
  <si>
    <t>マイクロファイバーハンドクロス（20ｘ20cm）</t>
  </si>
  <si>
    <t>広洋物産</t>
  </si>
  <si>
    <t>MF-CT</t>
  </si>
  <si>
    <t>マイクロファイバークロス（30x50cm）</t>
  </si>
  <si>
    <t>MF-FT</t>
  </si>
  <si>
    <t>マイクロファイバーフェイスタオル（35x80cm）</t>
  </si>
  <si>
    <t>MF-ST</t>
  </si>
  <si>
    <t>MF-BT</t>
  </si>
  <si>
    <t>マイクロファイバーバスタオル（60x130cm）</t>
  </si>
  <si>
    <t>MF-MT</t>
  </si>
  <si>
    <t>-</t>
  </si>
  <si>
    <t>マイクロファイバーマフラータオル</t>
  </si>
  <si>
    <t>尾崎スクリーン</t>
  </si>
  <si>
    <t>MF-HTW</t>
  </si>
  <si>
    <t>マイクロファイバーハンドクロス（ホワイト）</t>
  </si>
  <si>
    <t>MHT</t>
  </si>
  <si>
    <t>タオルハンカチ</t>
  </si>
  <si>
    <t>東洋染工</t>
  </si>
  <si>
    <t>HT</t>
  </si>
  <si>
    <t>ハンドタオル</t>
  </si>
  <si>
    <t>FT</t>
  </si>
  <si>
    <t>フェイスタオル</t>
  </si>
  <si>
    <t>MT</t>
  </si>
  <si>
    <t>マフラータオル</t>
  </si>
  <si>
    <t>ST</t>
  </si>
  <si>
    <t>スポーツタオル</t>
  </si>
  <si>
    <t>BT</t>
  </si>
  <si>
    <t>バスタオル</t>
  </si>
  <si>
    <t>H-HT</t>
  </si>
  <si>
    <t>ハンドタオル（HotelResort）</t>
  </si>
  <si>
    <t>七福タオル</t>
  </si>
  <si>
    <t>H-FT</t>
  </si>
  <si>
    <t>フェイスタオル（HotelResort）</t>
  </si>
  <si>
    <t>H-ST</t>
  </si>
  <si>
    <t>スポーツタオル（HotelResort）</t>
  </si>
  <si>
    <t>H-BT</t>
  </si>
  <si>
    <t>バスタオル（HotelResort）</t>
  </si>
  <si>
    <t>H-BM</t>
  </si>
  <si>
    <t>バスマット（HotelResort）</t>
  </si>
  <si>
    <t>H-PBM</t>
  </si>
  <si>
    <t>プチバスマット（HotelResort）</t>
  </si>
  <si>
    <t>C-HKT</t>
  </si>
  <si>
    <t>ハンカチタオル（Climb）</t>
  </si>
  <si>
    <t>C-HT</t>
  </si>
  <si>
    <t>ハンドタオル（Climb）</t>
  </si>
  <si>
    <t>C-FT</t>
  </si>
  <si>
    <t>フェイスタオル（Climb）</t>
  </si>
  <si>
    <t>C-BT</t>
  </si>
  <si>
    <t>バスタオル（Climb）</t>
  </si>
  <si>
    <t>D-TS</t>
  </si>
  <si>
    <t>D-TT</t>
  </si>
  <si>
    <t>D-STS</t>
  </si>
  <si>
    <t>D-SP</t>
  </si>
  <si>
    <t>『hotdog』</t>
  </si>
  <si>
    <t>プレーンタンクトップ</t>
  </si>
  <si>
    <t>スポーツTシャツ</t>
  </si>
  <si>
    <t>Hotdog</t>
  </si>
  <si>
    <t>表示メーカー</t>
    <rPh sb="0" eb="2">
      <t>ヒョウジ</t>
    </rPh>
    <phoneticPr fontId="6"/>
  </si>
  <si>
    <t>（株）エレファント　藤岡様・渡部様</t>
  </si>
  <si>
    <t>東洋染工株式会社</t>
  </si>
  <si>
    <t>七福タオル株式会社</t>
  </si>
  <si>
    <t>広洋物産株式会社</t>
    <rPh sb="4" eb="8">
      <t>カ</t>
    </rPh>
    <phoneticPr fontId="6"/>
  </si>
  <si>
    <t>メーカー
商品番号</t>
    <rPh sb="5" eb="7">
      <t>ショウヒン</t>
    </rPh>
    <rPh sb="7" eb="9">
      <t>バンゴウ</t>
    </rPh>
    <phoneticPr fontId="6"/>
  </si>
  <si>
    <t>anvil</t>
  </si>
  <si>
    <t>三浦商事</t>
    <rPh sb="0" eb="2">
      <t>ミウラ</t>
    </rPh>
    <rPh sb="2" eb="4">
      <t>ショウジ</t>
    </rPh>
    <phoneticPr fontId="3"/>
  </si>
  <si>
    <t>TOMS</t>
  </si>
  <si>
    <t>トムスCC</t>
  </si>
  <si>
    <t>CAB</t>
  </si>
  <si>
    <t>Don</t>
  </si>
  <si>
    <t>ヤマタカ株式会社</t>
  </si>
  <si>
    <t>FLORIDA WIND</t>
  </si>
  <si>
    <t>GILDAN</t>
  </si>
  <si>
    <t>トレードワークス</t>
  </si>
  <si>
    <t>(株)トレードワークス　≪高橋様≫</t>
    <rPh sb="0" eb="3">
      <t>カブ</t>
    </rPh>
    <rPh sb="13" eb="16">
      <t>タカハシサマ</t>
    </rPh>
    <phoneticPr fontId="3"/>
  </si>
  <si>
    <t>ボンマックス</t>
  </si>
  <si>
    <t>マスダ</t>
  </si>
  <si>
    <t>マスダ株式会社</t>
    <rPh sb="3" eb="5">
      <t>カブシキ</t>
    </rPh>
    <rPh sb="5" eb="7">
      <t>カイシャ</t>
    </rPh>
    <phoneticPr fontId="3"/>
  </si>
  <si>
    <t>桑和</t>
  </si>
  <si>
    <t>松栄シルク</t>
  </si>
  <si>
    <t>松栄シルク株式会社</t>
    <rPh sb="5" eb="7">
      <t>カブシキ</t>
    </rPh>
    <rPh sb="7" eb="9">
      <t>カイシャ</t>
    </rPh>
    <phoneticPr fontId="3"/>
  </si>
  <si>
    <t>川島商事</t>
  </si>
  <si>
    <t>藤和</t>
  </si>
  <si>
    <t>フェリック</t>
  </si>
  <si>
    <t>CHITOSE</t>
  </si>
  <si>
    <t>チトセ株式会社</t>
  </si>
  <si>
    <t>ALT</t>
  </si>
  <si>
    <t>かしす和装</t>
  </si>
  <si>
    <t>有限会社 かしす和装</t>
    <rPh sb="0" eb="2">
      <t>ユウゲン</t>
    </rPh>
    <rPh sb="2" eb="4">
      <t>カイシャ</t>
    </rPh>
    <rPh sb="8" eb="10">
      <t>ワソウ</t>
    </rPh>
    <phoneticPr fontId="3"/>
  </si>
  <si>
    <t>遠東商会</t>
  </si>
  <si>
    <t>明石被服</t>
  </si>
  <si>
    <t>明石被服（四国ヨット服）</t>
    <rPh sb="5" eb="7">
      <t>シコク</t>
    </rPh>
    <rPh sb="10" eb="11">
      <t>フク</t>
    </rPh>
    <phoneticPr fontId="3"/>
  </si>
  <si>
    <t>発注書表示名</t>
    <rPh sb="0" eb="2">
      <t>ハッチュウ</t>
    </rPh>
    <rPh sb="2" eb="3">
      <t>ショ</t>
    </rPh>
    <rPh sb="3" eb="5">
      <t>ヒョウジ</t>
    </rPh>
    <rPh sb="5" eb="6">
      <t>メイ</t>
    </rPh>
    <phoneticPr fontId="6"/>
  </si>
  <si>
    <t>備考</t>
    <rPh sb="0" eb="2">
      <t>ビコウ</t>
    </rPh>
    <phoneticPr fontId="6"/>
  </si>
  <si>
    <t>※基本1週間キープ　※15:00までのFAX発注（早め希望）→当日出荷、翌々日着。（土曜日は不定休）</t>
  </si>
  <si>
    <t>※基本1週間キープ　※14:00までのFAX発注→当日出荷。（土曜日は不定休）</t>
  </si>
  <si>
    <t>※基本5日間キープ　※13:00までのFAX発注→当日出荷、翌日着。（土曜日はFAXでの出荷無し）</t>
  </si>
  <si>
    <t>※基本3日間キープ　※11：00（海外製）／13：30（日本製）までのFAX発注→当日出荷、翌日着。（土曜日は営業無し）</t>
  </si>
  <si>
    <t>※基本1週間キープ　※15：00までのFAX発注→当日出荷。（土曜日は不定休）</t>
  </si>
  <si>
    <t>※基本1週間キープ　※15:00までのFAX発注→当日出荷、翌日着。（土曜日も同様／2月と8月は土曜休み）</t>
  </si>
  <si>
    <t>※基本1週間キープ　※14:00までのFAX発注→当日出荷、翌々日着。（土曜日は営業無し）※→急ぎの場合はヤマト便で翌日着可能（送料割増）</t>
  </si>
  <si>
    <t>※基本2週間キープ　※12時までのFAX発注→当日出荷。（土曜日は不定休）</t>
    <rPh sb="13" eb="14">
      <t>ジ</t>
    </rPh>
    <rPh sb="33" eb="36">
      <t>フテイキュウ</t>
    </rPh>
    <phoneticPr fontId="3"/>
  </si>
  <si>
    <t>※基本1週間キープ　※15:00までのFAX発注→当日出荷。（土曜日は14時まで）</t>
    <rPh sb="37" eb="38">
      <t>ジ</t>
    </rPh>
    <phoneticPr fontId="3"/>
  </si>
  <si>
    <t>※1週間キープ　※13時までのFAX発注→当日出荷、翌々日着。（静岡より）</t>
    <rPh sb="2" eb="4">
      <t>シュウカン</t>
    </rPh>
    <rPh sb="11" eb="12">
      <t>ジ</t>
    </rPh>
    <rPh sb="18" eb="20">
      <t>ハッチュウ</t>
    </rPh>
    <rPh sb="21" eb="23">
      <t>トウジツ</t>
    </rPh>
    <rPh sb="23" eb="25">
      <t>シュッカ</t>
    </rPh>
    <rPh sb="26" eb="29">
      <t>ヨクヨクジツ</t>
    </rPh>
    <rPh sb="29" eb="30">
      <t>チャク</t>
    </rPh>
    <rPh sb="32" eb="34">
      <t>シズオカ</t>
    </rPh>
    <phoneticPr fontId="3"/>
  </si>
  <si>
    <t>※2週間キープ　※12時までの発注で当日出荷。</t>
    <rPh sb="2" eb="4">
      <t>シュウカン</t>
    </rPh>
    <rPh sb="11" eb="12">
      <t>ジ</t>
    </rPh>
    <rPh sb="15" eb="17">
      <t>ハッチュウ</t>
    </rPh>
    <rPh sb="18" eb="20">
      <t>トウジツ</t>
    </rPh>
    <rPh sb="20" eb="22">
      <t>シュッカ</t>
    </rPh>
    <phoneticPr fontId="3"/>
  </si>
  <si>
    <t>※基本3日（自動解除）　※14時までのFAX発注で翌日着。【締め払い】</t>
    <rPh sb="1" eb="3">
      <t>キホン</t>
    </rPh>
    <rPh sb="4" eb="5">
      <t>ニチ</t>
    </rPh>
    <rPh sb="6" eb="8">
      <t>ジドウ</t>
    </rPh>
    <rPh sb="8" eb="10">
      <t>カイジョ</t>
    </rPh>
    <rPh sb="15" eb="16">
      <t>ジ</t>
    </rPh>
    <rPh sb="22" eb="24">
      <t>ハッチュウ</t>
    </rPh>
    <rPh sb="25" eb="27">
      <t>ヨクジツ</t>
    </rPh>
    <rPh sb="27" eb="28">
      <t>チャク</t>
    </rPh>
    <rPh sb="30" eb="31">
      <t>シ</t>
    </rPh>
    <rPh sb="32" eb="33">
      <t>バラ</t>
    </rPh>
    <phoneticPr fontId="3"/>
  </si>
  <si>
    <t>※12時までにFAX注文→リFAXに対し、15時までに入金→確認の場合、当日出荷→翌々日着。</t>
    <rPh sb="38" eb="40">
      <t>シュッカ</t>
    </rPh>
    <rPh sb="41" eb="44">
      <t>ヨクヨクジツ</t>
    </rPh>
    <rPh sb="44" eb="45">
      <t>チャク</t>
    </rPh>
    <phoneticPr fontId="3"/>
  </si>
  <si>
    <t>※キープはその都度確認　※10：30までに発注→当日出荷、翌日着。（FAX：087-867-9353）</t>
    <rPh sb="7" eb="9">
      <t>ツド</t>
    </rPh>
    <rPh sb="9" eb="11">
      <t>カクニン</t>
    </rPh>
    <rPh sb="21" eb="23">
      <t>ハッチュウ</t>
    </rPh>
    <rPh sb="24" eb="26">
      <t>トウジツ</t>
    </rPh>
    <rPh sb="26" eb="28">
      <t>シュッカ</t>
    </rPh>
    <rPh sb="29" eb="31">
      <t>ヨクジツ</t>
    </rPh>
    <rPh sb="31" eb="32">
      <t>チャク</t>
    </rPh>
    <phoneticPr fontId="3"/>
  </si>
  <si>
    <t>※支払い方法：銀行振込み（締め払い）　</t>
  </si>
  <si>
    <t>※支払い方法：銀行振込み（先払い）　</t>
  </si>
  <si>
    <t>※14:30までの発注で、翌々日プラスワンに到着。</t>
    <rPh sb="9" eb="11">
      <t>ハッチュウ</t>
    </rPh>
    <rPh sb="13" eb="16">
      <t>ヨクヨクジツ</t>
    </rPh>
    <rPh sb="22" eb="24">
      <t>トウチャク</t>
    </rPh>
    <phoneticPr fontId="3"/>
  </si>
  <si>
    <t>※無地タオルのみの注文です。</t>
    <rPh sb="1" eb="3">
      <t>ムジ</t>
    </rPh>
    <rPh sb="9" eb="11">
      <t>チュウモン</t>
    </rPh>
    <phoneticPr fontId="3"/>
  </si>
  <si>
    <t>※商品は午前中の発注で翌日発送(土・日・祝は倉庫が休みの為、翌営業日発送)</t>
  </si>
  <si>
    <t>（株）エレファント　≪藤岡様・渡部様≫</t>
    <rPh sb="0" eb="3">
      <t>カブ</t>
    </rPh>
    <phoneticPr fontId="3"/>
  </si>
  <si>
    <t>※基本1週間キープ  ※14:00までのFAX（0120-32-1064）発注→当日出荷、翌日着。（土曜日も同様）</t>
    <rPh sb="1" eb="3">
      <t>キホン</t>
    </rPh>
    <rPh sb="4" eb="6">
      <t>シュウカン</t>
    </rPh>
    <phoneticPr fontId="6"/>
  </si>
  <si>
    <t>(株)モリ・フロッキー</t>
  </si>
  <si>
    <t>(有)東伸</t>
    <rPh sb="1" eb="2">
      <t>アリ</t>
    </rPh>
    <rPh sb="3" eb="4">
      <t>アズマ</t>
    </rPh>
    <rPh sb="4" eb="5">
      <t>シン</t>
    </rPh>
    <phoneticPr fontId="3"/>
  </si>
  <si>
    <t>(株)尾崎スクリーン</t>
    <rPh sb="0" eb="3">
      <t>カブ</t>
    </rPh>
    <rPh sb="3" eb="5">
      <t>オザキ</t>
    </rPh>
    <phoneticPr fontId="3"/>
  </si>
  <si>
    <t>(有)つちやネーム店</t>
    <rPh sb="1" eb="2">
      <t>アリ</t>
    </rPh>
    <rPh sb="9" eb="10">
      <t>テン</t>
    </rPh>
    <phoneticPr fontId="3"/>
  </si>
  <si>
    <t>プロテックス・アパレル(株)</t>
  </si>
  <si>
    <t>エースプリント(株)</t>
  </si>
  <si>
    <t>(株)ゲイト</t>
  </si>
  <si>
    <t>(有)ビジービー</t>
  </si>
  <si>
    <t>(株)トミーズコーポレーション</t>
  </si>
  <si>
    <t>ゆめタウン</t>
  </si>
  <si>
    <t>(株)テルミ・エンタープライズ</t>
  </si>
  <si>
    <t xml:space="preserve"> 〒760-0080  香川県高松市木太町5116番地20号</t>
    <rPh sb="18" eb="21">
      <t>キタチョウ</t>
    </rPh>
    <rPh sb="25" eb="27">
      <t>バンチ</t>
    </rPh>
    <rPh sb="29" eb="30">
      <t>ゴウ</t>
    </rPh>
    <phoneticPr fontId="3"/>
  </si>
  <si>
    <t xml:space="preserve"> 〒838-0226  福岡県朝倉郡筑前町中牟田1175-1</t>
    <rPh sb="12" eb="15">
      <t>フクオカケン</t>
    </rPh>
    <rPh sb="15" eb="18">
      <t>アサクラグン</t>
    </rPh>
    <rPh sb="18" eb="20">
      <t>チクゼン</t>
    </rPh>
    <rPh sb="20" eb="21">
      <t>マチ</t>
    </rPh>
    <rPh sb="21" eb="24">
      <t>ナカムタ</t>
    </rPh>
    <phoneticPr fontId="3"/>
  </si>
  <si>
    <t xml:space="preserve"> 〒590-0505  大阪府泉南市信達大苗代754-1</t>
  </si>
  <si>
    <t xml:space="preserve"> 〒598-0021  大阪府泉佐野市日根野2577-1</t>
  </si>
  <si>
    <t xml:space="preserve"> 〒711-0906  岡山県倉敷市児島下ノ町9-13-24</t>
  </si>
  <si>
    <t xml:space="preserve"> 〒739-1203  広島県安芸高田市向原町長田4086-1</t>
    <rPh sb="12" eb="15">
      <t>ヒロシマケン</t>
    </rPh>
    <rPh sb="15" eb="17">
      <t>アキ</t>
    </rPh>
    <rPh sb="17" eb="20">
      <t>タカダシ</t>
    </rPh>
    <rPh sb="20" eb="23">
      <t>ムカイバラチョウ</t>
    </rPh>
    <rPh sb="23" eb="25">
      <t>オサダ</t>
    </rPh>
    <phoneticPr fontId="3"/>
  </si>
  <si>
    <t xml:space="preserve"> 〒595-0026  大阪府泉大津市東雲町11-10</t>
  </si>
  <si>
    <t xml:space="preserve"> 〒799-1351  愛媛県西条市三津屋236-1</t>
  </si>
  <si>
    <t xml:space="preserve"> 〒761-0701  香川県木田郡三木町池戸800-2</t>
    <rPh sb="12" eb="15">
      <t>カガワケン</t>
    </rPh>
    <rPh sb="15" eb="18">
      <t>キタグン</t>
    </rPh>
    <rPh sb="18" eb="21">
      <t>ミキマチ</t>
    </rPh>
    <rPh sb="21" eb="23">
      <t>イケノベ</t>
    </rPh>
    <phoneticPr fontId="3"/>
  </si>
  <si>
    <t xml:space="preserve"> 〒762-0003  香川県坂出市久米町1-14-14-3F</t>
  </si>
  <si>
    <t> 〒601-8363  京都府京都市南区吉祥院嶋野間詰町26-2</t>
  </si>
  <si>
    <t xml:space="preserve"> 〒760-0061　香川県高松市築地町3-8</t>
  </si>
  <si>
    <t>住所</t>
    <rPh sb="0" eb="2">
      <t>ジュウショ</t>
    </rPh>
    <phoneticPr fontId="6"/>
  </si>
  <si>
    <t>087-869-8080</t>
  </si>
  <si>
    <t>0946-42-8777</t>
  </si>
  <si>
    <t>0724-85-1002</t>
  </si>
  <si>
    <t>072-496-8505</t>
  </si>
  <si>
    <t>086-474-3430</t>
  </si>
  <si>
    <t>0826-46-7740</t>
  </si>
  <si>
    <t>0725-23-9000</t>
  </si>
  <si>
    <t>0898-64-0170</t>
  </si>
  <si>
    <t>087-816-8151</t>
  </si>
  <si>
    <t>087-840-2055</t>
  </si>
  <si>
    <t>0877-59-0308</t>
  </si>
  <si>
    <t>075-661-2181</t>
  </si>
  <si>
    <t>087-823-0670</t>
  </si>
  <si>
    <t>(株)ラブ・ラボ</t>
  </si>
  <si>
    <t>0898-55-4219</t>
  </si>
  <si>
    <t>※FAXも同様</t>
    <rPh sb="5" eb="7">
      <t>ドウヨウ</t>
    </rPh>
    <phoneticPr fontId="6"/>
  </si>
  <si>
    <t xml:space="preserve"> 〒794-0112　愛媛県今治市玉川町小鴨部甲63</t>
    <phoneticPr fontId="6"/>
  </si>
  <si>
    <t>087-847-2000</t>
  </si>
  <si>
    <t>0898-55-4749</t>
  </si>
  <si>
    <t xml:space="preserve"> 〒794-0111  愛媛県今治市中村甲173</t>
    <phoneticPr fontId="6"/>
  </si>
  <si>
    <t xml:space="preserve"> 〒761-0323  香川県高松市亀田町90-1</t>
    <phoneticPr fontId="6"/>
  </si>
  <si>
    <t>086-472-7514</t>
  </si>
  <si>
    <t xml:space="preserve"> 〒711-0907  岡山県倉敷市児島上の町1-8-8</t>
    <phoneticPr fontId="6"/>
  </si>
  <si>
    <t>(株)トランスアート</t>
    <phoneticPr fontId="6"/>
  </si>
  <si>
    <t>(株)ジャスト</t>
    <phoneticPr fontId="6"/>
  </si>
  <si>
    <t>(有)眞鍋　　</t>
    <phoneticPr fontId="6"/>
  </si>
  <si>
    <t>正式メーカー名</t>
    <rPh sb="0" eb="2">
      <t>セイシキ</t>
    </rPh>
    <rPh sb="6" eb="7">
      <t>メイ</t>
    </rPh>
    <phoneticPr fontId="6"/>
  </si>
  <si>
    <t>電話</t>
    <rPh sb="0" eb="2">
      <t>デンワ</t>
    </rPh>
    <phoneticPr fontId="6"/>
  </si>
  <si>
    <t>【</t>
    <phoneticPr fontId="11"/>
  </si>
  <si>
    <t>TR-0561</t>
    <phoneticPr fontId="6"/>
  </si>
  <si>
    <t>ポリキャンバストート（S）</t>
    <phoneticPr fontId="6"/>
  </si>
  <si>
    <t>P-7000</t>
    <phoneticPr fontId="6"/>
  </si>
  <si>
    <t>ハイネックインナーシャツ長袖</t>
    <phoneticPr fontId="6"/>
  </si>
  <si>
    <t>㈱wundou（ウンドウ）</t>
    <phoneticPr fontId="6"/>
  </si>
  <si>
    <t>FLORIDA WIND</t>
    <phoneticPr fontId="6"/>
  </si>
  <si>
    <t>高岸 豊</t>
    <phoneticPr fontId="6"/>
  </si>
  <si>
    <t>TR-0631</t>
    <phoneticPr fontId="6"/>
  </si>
  <si>
    <t>厚手コットンバッグヘビーウェイト（M）マチ付き</t>
    <phoneticPr fontId="6"/>
  </si>
  <si>
    <t>00875-THA</t>
    <phoneticPr fontId="6"/>
  </si>
  <si>
    <t>H型エプロン</t>
    <phoneticPr fontId="6"/>
  </si>
  <si>
    <t>TR-0574</t>
    <phoneticPr fontId="6"/>
  </si>
  <si>
    <t>TR-0573</t>
    <phoneticPr fontId="6"/>
  </si>
  <si>
    <t>TR-0652</t>
    <phoneticPr fontId="6"/>
  </si>
  <si>
    <t>ポリキャンバスバイカラートート(L)</t>
    <phoneticPr fontId="6"/>
  </si>
  <si>
    <t>ポリキャンバスバイカラートート(M)</t>
    <phoneticPr fontId="6"/>
  </si>
  <si>
    <t>厚手キャンバスワイドトート</t>
    <phoneticPr fontId="6"/>
  </si>
  <si>
    <t>(有)ツチヤワークス</t>
    <rPh sb="1" eb="2">
      <t>アリ</t>
    </rPh>
    <phoneticPr fontId="3"/>
  </si>
  <si>
    <t xml:space="preserve"> □(有)ツチヤワークス</t>
    <rPh sb="3" eb="4">
      <t>アリ</t>
    </rPh>
    <phoneticPr fontId="3"/>
  </si>
  <si>
    <t>★お手数ですが、ご確認後はリAFXをお願い致します。</t>
    <phoneticPr fontId="6"/>
  </si>
  <si>
    <t>グランロボ　ヘビーウェイトVネックTシャツ</t>
    <phoneticPr fontId="6"/>
  </si>
  <si>
    <t>ウンドウ</t>
    <phoneticPr fontId="6"/>
  </si>
  <si>
    <t>TR-0410</t>
    <phoneticPr fontId="6"/>
  </si>
  <si>
    <t>キャンバスベーカリートート(L)</t>
    <phoneticPr fontId="6"/>
  </si>
  <si>
    <t>J3930HD</t>
    <phoneticPr fontId="6"/>
  </si>
  <si>
    <t>J3930HD</t>
    <phoneticPr fontId="6"/>
  </si>
  <si>
    <t>フルーツオブザルームアクティブTシャツ</t>
    <phoneticPr fontId="6"/>
  </si>
  <si>
    <t>お</t>
    <phoneticPr fontId="6"/>
  </si>
  <si>
    <t>MB-6450</t>
  </si>
  <si>
    <t xml:space="preserve">MB-1033 </t>
  </si>
  <si>
    <t>LU-535</t>
  </si>
  <si>
    <t>LIVIMODE コート（男女兼用）</t>
    <phoneticPr fontId="6"/>
  </si>
  <si>
    <t>LIVIMODE スタンドカラーシャツ</t>
    <phoneticPr fontId="6"/>
  </si>
  <si>
    <t>スタンドカラーシャツ【男女兼用】</t>
    <phoneticPr fontId="6"/>
  </si>
  <si>
    <t>TR-0516</t>
  </si>
  <si>
    <t>デニムトート(M)</t>
    <phoneticPr fontId="6"/>
  </si>
  <si>
    <t>FA9652</t>
    <phoneticPr fontId="6"/>
  </si>
  <si>
    <t>FA9625</t>
    <phoneticPr fontId="6"/>
  </si>
  <si>
    <t>Face Mix バンダナキャスケット</t>
    <phoneticPr fontId="6"/>
  </si>
  <si>
    <t>Face Mix ヒッコリーストライプキャスケット</t>
    <phoneticPr fontId="6"/>
  </si>
  <si>
    <t>TR-0656</t>
  </si>
  <si>
    <t>TR-0577</t>
  </si>
  <si>
    <t>ウォッシュデニムトート(S)</t>
    <phoneticPr fontId="6"/>
  </si>
  <si>
    <t>デニムデイリートート</t>
    <phoneticPr fontId="6"/>
  </si>
  <si>
    <t>00335-ALP</t>
    <phoneticPr fontId="6"/>
  </si>
  <si>
    <t>ドライ長袖ポロシャツ(ポケット付き）</t>
    <phoneticPr fontId="6"/>
  </si>
  <si>
    <t>バンダナキャップ DN-6756</t>
    <phoneticPr fontId="6"/>
  </si>
  <si>
    <t>DN-6756</t>
    <phoneticPr fontId="6"/>
  </si>
  <si>
    <t>DN-6756</t>
    <phoneticPr fontId="6"/>
  </si>
  <si>
    <t>株式会社 共栄</t>
    <rPh sb="0" eb="4">
      <t>カ</t>
    </rPh>
    <rPh sb="5" eb="7">
      <t>キョウエイ</t>
    </rPh>
    <phoneticPr fontId="6"/>
  </si>
  <si>
    <t>共栄</t>
    <rPh sb="0" eb="2">
      <t>キョウエイ</t>
    </rPh>
    <phoneticPr fontId="6"/>
  </si>
  <si>
    <t>※1週間キープ　※担当：上田さん　※15時までのFAX（06-6713-2355）で大阪より当日出荷OK。</t>
    <rPh sb="2" eb="4">
      <t>シュウカン</t>
    </rPh>
    <rPh sb="9" eb="11">
      <t>タントウ</t>
    </rPh>
    <rPh sb="12" eb="14">
      <t>ウエダ</t>
    </rPh>
    <rPh sb="20" eb="21">
      <t>ジ</t>
    </rPh>
    <rPh sb="42" eb="44">
      <t>オオサカ</t>
    </rPh>
    <rPh sb="46" eb="48">
      <t>トウジツ</t>
    </rPh>
    <rPh sb="48" eb="50">
      <t>シュッカ</t>
    </rPh>
    <phoneticPr fontId="6"/>
  </si>
  <si>
    <t>P-1780</t>
    <phoneticPr fontId="6"/>
  </si>
  <si>
    <t>ベーシックテニスパンツ</t>
    <phoneticPr fontId="6"/>
  </si>
  <si>
    <t>MIZUNO</t>
    <phoneticPr fontId="6"/>
  </si>
  <si>
    <t>ミズノ</t>
    <phoneticPr fontId="6"/>
  </si>
  <si>
    <t>※受注生産。注文から約1週間必要。プリント位置の指定（左右）、プリント色の指定（14色より）が必要。</t>
    <rPh sb="1" eb="3">
      <t>ジュチュウ</t>
    </rPh>
    <rPh sb="3" eb="5">
      <t>セイサン</t>
    </rPh>
    <rPh sb="6" eb="8">
      <t>チュウモン</t>
    </rPh>
    <rPh sb="10" eb="11">
      <t>ヤク</t>
    </rPh>
    <rPh sb="12" eb="14">
      <t>シュウカン</t>
    </rPh>
    <rPh sb="14" eb="16">
      <t>ヒツヨウ</t>
    </rPh>
    <rPh sb="21" eb="23">
      <t>イチ</t>
    </rPh>
    <rPh sb="24" eb="26">
      <t>シテイ</t>
    </rPh>
    <rPh sb="27" eb="29">
      <t>サユウ</t>
    </rPh>
    <rPh sb="35" eb="36">
      <t>イロ</t>
    </rPh>
    <rPh sb="37" eb="39">
      <t>シテイ</t>
    </rPh>
    <rPh sb="42" eb="43">
      <t>イロ</t>
    </rPh>
    <rPh sb="47" eb="49">
      <t>ヒツヨウ</t>
    </rPh>
    <phoneticPr fontId="6"/>
  </si>
  <si>
    <t>PMZ-1001-1</t>
  </si>
  <si>
    <t>PMZ-1001-2</t>
  </si>
  <si>
    <t>PMZ-1001-3</t>
  </si>
  <si>
    <t>PMZ-2001-1</t>
  </si>
  <si>
    <t>PMZ-2001-2</t>
  </si>
  <si>
    <t>PMZ-2001-3</t>
  </si>
  <si>
    <t>PMZ-3001-1</t>
  </si>
  <si>
    <t>ドライショートスリーブTシャツ(左or右胸ロゴ付き)</t>
    <phoneticPr fontId="6"/>
  </si>
  <si>
    <t>ドライショートスリーブTシャツ(背中襟下ロゴ付き)</t>
    <phoneticPr fontId="6"/>
  </si>
  <si>
    <t>ドライロングスリーブTシャツ(左or右胸ロゴ付き)</t>
    <phoneticPr fontId="6"/>
  </si>
  <si>
    <t>ドライロングスリーブTシャツ(左or右袖ロゴ付き)</t>
    <phoneticPr fontId="6"/>
  </si>
  <si>
    <t>ドライロングスリーブTシャツ(背中襟下ロゴ付き)</t>
    <phoneticPr fontId="6"/>
  </si>
  <si>
    <t>ボタンダウンポロシャツ(左or右胸ロゴ付き)</t>
    <phoneticPr fontId="6"/>
  </si>
  <si>
    <t>シルク</t>
  </si>
  <si>
    <t>ドライショートスリーブTシャツ(左or右袖ロゴ付き)</t>
    <rPh sb="20" eb="21">
      <t>ソデ</t>
    </rPh>
    <phoneticPr fontId="6"/>
  </si>
  <si>
    <t>TR-0517</t>
    <phoneticPr fontId="6"/>
  </si>
  <si>
    <t>デニムロープハンドルトート</t>
    <phoneticPr fontId="6"/>
  </si>
  <si>
    <t>TR-0578</t>
  </si>
  <si>
    <t>ウォッシュデニムトート(M)</t>
    <phoneticPr fontId="6"/>
  </si>
  <si>
    <t>142-BAT</t>
    <phoneticPr fontId="6"/>
  </si>
  <si>
    <t>ゴールドイエロー</t>
    <phoneticPr fontId="6"/>
  </si>
  <si>
    <t>ロイヤルブルー</t>
    <phoneticPr fontId="6"/>
  </si>
  <si>
    <t>レッド</t>
    <phoneticPr fontId="6"/>
  </si>
  <si>
    <t>M</t>
    <phoneticPr fontId="6"/>
  </si>
  <si>
    <t>ディップダイTシャツ（レディース）</t>
    <phoneticPr fontId="6"/>
  </si>
  <si>
    <t>岡</t>
    <rPh sb="0" eb="1">
      <t>オカ</t>
    </rPh>
    <phoneticPr fontId="6"/>
  </si>
  <si>
    <t>S</t>
    <phoneticPr fontId="6"/>
  </si>
  <si>
    <t>L</t>
    <phoneticPr fontId="6"/>
  </si>
  <si>
    <t>ホットピンク</t>
  </si>
  <si>
    <t>ホットピンク</t>
    <phoneticPr fontId="6"/>
  </si>
  <si>
    <t>レッド</t>
  </si>
  <si>
    <t>イエロー</t>
  </si>
  <si>
    <t>イエロー</t>
    <phoneticPr fontId="6"/>
  </si>
  <si>
    <t>ロイヤルブルー</t>
  </si>
  <si>
    <t>計 25 枚</t>
    <rPh sb="0" eb="1">
      <t>ケイ</t>
    </rPh>
    <rPh sb="5" eb="6">
      <t>マイ</t>
    </rPh>
    <phoneticPr fontId="6"/>
  </si>
  <si>
    <t>ゴールドイエロー</t>
  </si>
  <si>
    <t>TR-0480</t>
    <phoneticPr fontId="6"/>
  </si>
  <si>
    <t>TR-0480</t>
    <phoneticPr fontId="6"/>
  </si>
  <si>
    <t>保冷レジカゴトート</t>
    <phoneticPr fontId="6"/>
  </si>
  <si>
    <t>TR-0653</t>
    <phoneticPr fontId="6"/>
  </si>
  <si>
    <t>TR-0653</t>
    <phoneticPr fontId="6"/>
  </si>
  <si>
    <t>厚手キャンバスファスナートート</t>
    <phoneticPr fontId="6"/>
  </si>
  <si>
    <t>JF-500</t>
    <phoneticPr fontId="6"/>
  </si>
  <si>
    <t>JF-350</t>
    <phoneticPr fontId="6"/>
  </si>
  <si>
    <t>TR-0680</t>
  </si>
  <si>
    <t>デニムミニショルダートート</t>
    <phoneticPr fontId="6"/>
  </si>
  <si>
    <t>00766-CCB</t>
  </si>
  <si>
    <t>DM106</t>
  </si>
  <si>
    <t>アーミーワークキャップ</t>
    <phoneticPr fontId="6"/>
  </si>
  <si>
    <t>保冷トートバッグ</t>
    <phoneticPr fontId="6"/>
  </si>
  <si>
    <t>オーセンティックトライブレンドジップパーカ</t>
    <phoneticPr fontId="6"/>
  </si>
  <si>
    <t>TR-0672</t>
    <phoneticPr fontId="6"/>
  </si>
  <si>
    <t>フィルムコーティング　スクエアトート(フェイクバスケット)</t>
    <phoneticPr fontId="6"/>
  </si>
  <si>
    <t>イベントバッグ</t>
    <phoneticPr fontId="6"/>
  </si>
  <si>
    <t>共栄</t>
    <phoneticPr fontId="6"/>
  </si>
  <si>
    <t>ロールハットテトロン製</t>
    <phoneticPr fontId="6"/>
  </si>
  <si>
    <t>テラピンチテトロン製</t>
    <phoneticPr fontId="6"/>
  </si>
  <si>
    <t>カラーブルゾン</t>
    <phoneticPr fontId="6"/>
  </si>
  <si>
    <t>TPM-140</t>
    <phoneticPr fontId="6"/>
  </si>
  <si>
    <t>タンクトップ TPM-140</t>
    <phoneticPr fontId="6"/>
  </si>
  <si>
    <t>JH-555</t>
  </si>
  <si>
    <t>ニットハーフパンツ</t>
    <phoneticPr fontId="6"/>
  </si>
  <si>
    <t>どちらでもよい</t>
    <phoneticPr fontId="6"/>
  </si>
  <si>
    <t>柄名</t>
    <rPh sb="0" eb="1">
      <t>ガラ</t>
    </rPh>
    <rPh sb="1" eb="2">
      <t>ナ</t>
    </rPh>
    <phoneticPr fontId="6"/>
  </si>
  <si>
    <t>MTR8125</t>
  </si>
  <si>
    <t>XL</t>
  </si>
  <si>
    <t>MTR8127</t>
  </si>
  <si>
    <t>WTR8139</t>
  </si>
  <si>
    <t>WTR8138</t>
  </si>
  <si>
    <t>UAチャージドコットンクルー</t>
    <phoneticPr fontId="6"/>
  </si>
  <si>
    <t>UAテックHGSS【ヒートギア】</t>
    <phoneticPr fontId="6"/>
  </si>
  <si>
    <t>UAチャージドコットンHGSS【ヒートギア】</t>
    <phoneticPr fontId="6"/>
  </si>
  <si>
    <t>UAテックHGSS(ウィメンズ)【ヒートギア】</t>
    <phoneticPr fontId="6"/>
  </si>
  <si>
    <t>ABC</t>
    <phoneticPr fontId="6"/>
  </si>
  <si>
    <t>PMZ-3001-2</t>
  </si>
  <si>
    <t>PMZ-3001-2</t>
    <phoneticPr fontId="6"/>
  </si>
  <si>
    <t>ボタンダウンポロシャツ(左or右袖ロゴ付き)</t>
    <phoneticPr fontId="6"/>
  </si>
  <si>
    <t>PMZ-3001-3</t>
  </si>
  <si>
    <t>PMZ-3001-3</t>
    <phoneticPr fontId="6"/>
  </si>
  <si>
    <t>ボタンダウンポロシャツ(背中襟下ロゴ付き)</t>
    <phoneticPr fontId="6"/>
  </si>
  <si>
    <t>発注日　7/4　→搬入日　　/</t>
    <phoneticPr fontId="6"/>
  </si>
  <si>
    <t>カラー・サイズ</t>
    <phoneticPr fontId="6"/>
  </si>
  <si>
    <t>ﾚ</t>
    <phoneticPr fontId="6"/>
  </si>
  <si>
    <t>右胸_本体BLK×ロゴNVY</t>
  </si>
  <si>
    <t>M</t>
  </si>
  <si>
    <t>背中襟下_本体NVY×ロゴLmGRN</t>
  </si>
  <si>
    <t>左胸_本体WHT×ロゴBLU</t>
  </si>
  <si>
    <t>L</t>
  </si>
  <si>
    <t>右袖_本体BLK×ロゴRED</t>
  </si>
  <si>
    <t>3XL</t>
  </si>
  <si>
    <t>背中襟下_本体BLK×ロゴWHT</t>
  </si>
  <si>
    <t>左胸_本体YEL×ロゴYEL</t>
  </si>
  <si>
    <t>右袖_本体BLK×ロゴORG</t>
  </si>
  <si>
    <t>S</t>
  </si>
  <si>
    <t>背中襟下_本体NVY×ロゴHtPNK</t>
  </si>
  <si>
    <t>XS</t>
  </si>
  <si>
    <t xml:space="preserve">株式会社 プラスワンインターナショナル 電話:087-869-8080 </t>
    <phoneticPr fontId="6"/>
  </si>
  <si>
    <t>▼ミズノ用</t>
    <rPh sb="4" eb="5">
      <t>ヨウ</t>
    </rPh>
    <phoneticPr fontId="6"/>
  </si>
  <si>
    <t>サイズ</t>
    <phoneticPr fontId="6"/>
  </si>
  <si>
    <t>本体色</t>
    <rPh sb="0" eb="2">
      <t>ホンタイ</t>
    </rPh>
    <rPh sb="2" eb="3">
      <t>イロ</t>
    </rPh>
    <phoneticPr fontId="6"/>
  </si>
  <si>
    <t>右袖_本体WHT×ロゴHtPNK</t>
    <phoneticPr fontId="6"/>
  </si>
  <si>
    <t>位置</t>
    <rPh sb="0" eb="2">
      <t>イチ</t>
    </rPh>
    <phoneticPr fontId="6"/>
  </si>
  <si>
    <t>BLK</t>
    <phoneticPr fontId="6"/>
  </si>
  <si>
    <t>BLU</t>
    <phoneticPr fontId="6"/>
  </si>
  <si>
    <t>GRN</t>
    <phoneticPr fontId="6"/>
  </si>
  <si>
    <t>GRY</t>
    <phoneticPr fontId="6"/>
  </si>
  <si>
    <t>HtPNK</t>
    <phoneticPr fontId="6"/>
  </si>
  <si>
    <t>LmGRN</t>
    <phoneticPr fontId="6"/>
  </si>
  <si>
    <t>NVY</t>
    <phoneticPr fontId="6"/>
  </si>
  <si>
    <t>ORG</t>
    <phoneticPr fontId="6"/>
  </si>
  <si>
    <t>PNK</t>
    <phoneticPr fontId="6"/>
  </si>
  <si>
    <t>PUR</t>
    <phoneticPr fontId="6"/>
  </si>
  <si>
    <t>RED</t>
    <phoneticPr fontId="6"/>
  </si>
  <si>
    <t>TqBLU</t>
    <phoneticPr fontId="6"/>
  </si>
  <si>
    <t>WHT</t>
    <phoneticPr fontId="6"/>
  </si>
  <si>
    <t>YEL</t>
    <phoneticPr fontId="6"/>
  </si>
  <si>
    <t>RyBLU</t>
    <phoneticPr fontId="6"/>
  </si>
  <si>
    <t>ブラック</t>
    <phoneticPr fontId="6"/>
  </si>
  <si>
    <t>ブルー</t>
    <phoneticPr fontId="6"/>
  </si>
  <si>
    <t>グリーン</t>
    <phoneticPr fontId="6"/>
  </si>
  <si>
    <t>グレー</t>
    <phoneticPr fontId="6"/>
  </si>
  <si>
    <t>ホットピンク</t>
    <phoneticPr fontId="6"/>
  </si>
  <si>
    <t>ライムグリーン</t>
    <phoneticPr fontId="6"/>
  </si>
  <si>
    <t>ネイビー</t>
    <phoneticPr fontId="6"/>
  </si>
  <si>
    <t>オレンジ</t>
    <phoneticPr fontId="6"/>
  </si>
  <si>
    <t>ピンク</t>
    <phoneticPr fontId="6"/>
  </si>
  <si>
    <t>パープル</t>
    <phoneticPr fontId="6"/>
  </si>
  <si>
    <t>レッド</t>
    <phoneticPr fontId="6"/>
  </si>
  <si>
    <t>ターコイズブルー</t>
    <phoneticPr fontId="6"/>
  </si>
  <si>
    <t>ホワイト</t>
    <phoneticPr fontId="6"/>
  </si>
  <si>
    <t>イエロー</t>
    <phoneticPr fontId="6"/>
  </si>
  <si>
    <t>ロイヤルブルー</t>
    <phoneticPr fontId="6"/>
  </si>
  <si>
    <t>プリント色</t>
    <rPh sb="4" eb="5">
      <t>イロ</t>
    </rPh>
    <phoneticPr fontId="6"/>
  </si>
  <si>
    <t>枚数</t>
    <rPh sb="0" eb="2">
      <t>マイスウ</t>
    </rPh>
    <phoneticPr fontId="6"/>
  </si>
  <si>
    <t>株式会社 プラスワンインターナショナル 担当：●●</t>
    <phoneticPr fontId="6"/>
  </si>
  <si>
    <t>MS3116</t>
    <phoneticPr fontId="6"/>
  </si>
  <si>
    <t>2WAYカラーポロシャツ</t>
    <phoneticPr fontId="6"/>
  </si>
  <si>
    <t>桑和</t>
    <rPh sb="0" eb="2">
      <t>ソウワ</t>
    </rPh>
    <phoneticPr fontId="6"/>
  </si>
  <si>
    <t>岡</t>
    <rPh sb="0" eb="1">
      <t>オカ</t>
    </rPh>
    <phoneticPr fontId="6"/>
  </si>
  <si>
    <t>楽天無地</t>
    <rPh sb="0" eb="2">
      <t>ラクテン</t>
    </rPh>
    <rPh sb="2" eb="4">
      <t>ムジ</t>
    </rPh>
    <phoneticPr fontId="6"/>
  </si>
  <si>
    <t>(株)尾崎スクリーン　御中：MIZUNOより直送本体のご案内</t>
    <phoneticPr fontId="6"/>
  </si>
  <si>
    <t>柄　　　　　　　名</t>
    <rPh sb="0" eb="1">
      <t>ガラ</t>
    </rPh>
    <rPh sb="8" eb="9">
      <t>メイ</t>
    </rPh>
    <phoneticPr fontId="6"/>
  </si>
  <si>
    <t>備　考</t>
    <rPh sb="0" eb="1">
      <t>ソナエ</t>
    </rPh>
    <rPh sb="2" eb="3">
      <t>コウ</t>
    </rPh>
    <phoneticPr fontId="6"/>
  </si>
  <si>
    <t>【指示内容】※加工場に入れる場合は柄名を記載してください。</t>
    <phoneticPr fontId="6"/>
  </si>
  <si>
    <t>カラー・サイズ</t>
    <phoneticPr fontId="6"/>
  </si>
  <si>
    <t>最短</t>
    <rPh sb="0" eb="2">
      <t>サイタン</t>
    </rPh>
    <phoneticPr fontId="6"/>
  </si>
  <si>
    <t>担当者名</t>
    <rPh sb="0" eb="3">
      <t>タントウシャ</t>
    </rPh>
    <rPh sb="3" eb="4">
      <t>メイ</t>
    </rPh>
    <phoneticPr fontId="6"/>
  </si>
  <si>
    <t>【送付先】</t>
    <rPh sb="1" eb="3">
      <t>ソウフ</t>
    </rPh>
    <rPh sb="3" eb="4">
      <t>サキ</t>
    </rPh>
    <phoneticPr fontId="6"/>
  </si>
  <si>
    <t>【柄名】</t>
    <rPh sb="1" eb="2">
      <t>ガラ</t>
    </rPh>
    <rPh sb="2" eb="3">
      <t>メイ</t>
    </rPh>
    <phoneticPr fontId="6"/>
  </si>
  <si>
    <t>加工場
到着日</t>
    <rPh sb="0" eb="2">
      <t>カコウ</t>
    </rPh>
    <rPh sb="2" eb="3">
      <t>バ</t>
    </rPh>
    <rPh sb="4" eb="6">
      <t>トウチャク</t>
    </rPh>
    <rPh sb="6" eb="7">
      <t>ビ</t>
    </rPh>
    <phoneticPr fontId="6"/>
  </si>
  <si>
    <r>
      <rPr>
        <sz val="12"/>
        <color indexed="8"/>
        <rFont val="ＭＳ Ｐゴシック"/>
        <family val="3"/>
        <charset val="128"/>
      </rPr>
      <t>備考</t>
    </r>
    <r>
      <rPr>
        <sz val="11"/>
        <color theme="1"/>
        <rFont val="ＭＳ Ｐゴシック"/>
        <family val="3"/>
        <charset val="128"/>
      </rPr>
      <t xml:space="preserve">
（後日別送/TOMS商品ある場合等）</t>
    </r>
    <rPh sb="0" eb="2">
      <t>ビコウ</t>
    </rPh>
    <rPh sb="4" eb="6">
      <t>ゴジツ</t>
    </rPh>
    <rPh sb="6" eb="8">
      <t>ベッソウ</t>
    </rPh>
    <rPh sb="13" eb="15">
      <t>ショウヒン</t>
    </rPh>
    <rPh sb="17" eb="19">
      <t>バアイ</t>
    </rPh>
    <rPh sb="19" eb="20">
      <t>ナド</t>
    </rPh>
    <phoneticPr fontId="6"/>
  </si>
  <si>
    <t>担当　</t>
    <rPh sb="0" eb="2">
      <t>タントウ</t>
    </rPh>
    <phoneticPr fontId="6"/>
  </si>
  <si>
    <r>
      <rPr>
        <sz val="18"/>
        <color indexed="9"/>
        <rFont val="HGP創英角ｺﾞｼｯｸUB"/>
        <family val="3"/>
        <charset val="128"/>
      </rPr>
      <t>本社→</t>
    </r>
    <r>
      <rPr>
        <sz val="22"/>
        <color indexed="9"/>
        <rFont val="HGP創英角ｺﾞｼｯｸUB"/>
        <family val="3"/>
        <charset val="128"/>
      </rPr>
      <t>朝日町物流センター　御中</t>
    </r>
    <phoneticPr fontId="6"/>
  </si>
  <si>
    <t>P1在庫のバッグと一緒に
送って下さい。</t>
    <rPh sb="2" eb="4">
      <t>ザイコ</t>
    </rPh>
    <rPh sb="9" eb="11">
      <t>イッショ</t>
    </rPh>
    <rPh sb="13" eb="14">
      <t>オク</t>
    </rPh>
    <rPh sb="16" eb="17">
      <t>クダ</t>
    </rPh>
    <phoneticPr fontId="6"/>
  </si>
  <si>
    <t>【カラー】</t>
    <phoneticPr fontId="6"/>
  </si>
  <si>
    <t>【サイズ】</t>
    <phoneticPr fontId="6"/>
  </si>
  <si>
    <t>【数量】</t>
    <rPh sb="1" eb="3">
      <t>スウリョウ</t>
    </rPh>
    <phoneticPr fontId="6"/>
  </si>
  <si>
    <t>【品番】</t>
    <rPh sb="1" eb="3">
      <t>ヒンバン</t>
    </rPh>
    <phoneticPr fontId="6"/>
  </si>
  <si>
    <t>【所属】</t>
    <rPh sb="1" eb="3">
      <t>ショゾク</t>
    </rPh>
    <phoneticPr fontId="6"/>
  </si>
  <si>
    <t>出庫：　　　　　　　　</t>
    <rPh sb="0" eb="2">
      <t>シュッコ</t>
    </rPh>
    <phoneticPr fontId="6"/>
  </si>
  <si>
    <t>確認：　　　　　　　　</t>
    <rPh sb="0" eb="2">
      <t>カクニン</t>
    </rPh>
    <phoneticPr fontId="6"/>
  </si>
  <si>
    <t>【品名】</t>
    <phoneticPr fontId="6"/>
  </si>
  <si>
    <t>【出荷使用欄】</t>
    <rPh sb="3" eb="5">
      <t>シヨウ</t>
    </rPh>
    <rPh sb="5" eb="6">
      <t>ラン</t>
    </rPh>
    <phoneticPr fontId="6"/>
  </si>
  <si>
    <t>【連絡事項】</t>
    <rPh sb="1" eb="3">
      <t>レンラク</t>
    </rPh>
    <rPh sb="3" eb="5">
      <t>ジコウ</t>
    </rPh>
    <phoneticPr fontId="6"/>
  </si>
  <si>
    <t>【担当者】</t>
    <rPh sb="1" eb="3">
      <t>タントウ</t>
    </rPh>
    <rPh sb="3" eb="4">
      <t>シャ</t>
    </rPh>
    <phoneticPr fontId="6"/>
  </si>
  <si>
    <t>物流センター　出荷作業依頼書</t>
    <rPh sb="0" eb="2">
      <t>ブツリュウ</t>
    </rPh>
    <rPh sb="7" eb="9">
      <t>シュッカ</t>
    </rPh>
    <rPh sb="9" eb="11">
      <t>サギョウ</t>
    </rPh>
    <rPh sb="11" eb="14">
      <t>イライショ</t>
    </rPh>
    <phoneticPr fontId="6"/>
  </si>
  <si>
    <r>
      <t xml:space="preserve">【依頼方法】
記入後、「メール送信ボタン」を押してください。　※FAXは不要
</t>
    </r>
    <r>
      <rPr>
        <b/>
        <u/>
        <sz val="11"/>
        <color rgb="FFFF0000"/>
        <rFont val="ＭＳ Ｐゴシック"/>
        <family val="3"/>
        <charset val="128"/>
      </rPr>
      <t>※当日出荷の場合は送信後、物流センター：出荷課1Ｆまで連絡下さい</t>
    </r>
    <rPh sb="1" eb="3">
      <t>イライ</t>
    </rPh>
    <rPh sb="3" eb="5">
      <t>ホウホウ</t>
    </rPh>
    <rPh sb="7" eb="9">
      <t>キニュウ</t>
    </rPh>
    <rPh sb="9" eb="10">
      <t>ゴ</t>
    </rPh>
    <rPh sb="15" eb="17">
      <t>ソウシン</t>
    </rPh>
    <rPh sb="22" eb="23">
      <t>オ</t>
    </rPh>
    <rPh sb="36" eb="38">
      <t>フヨウ</t>
    </rPh>
    <rPh sb="40" eb="42">
      <t>トウジツ</t>
    </rPh>
    <rPh sb="42" eb="44">
      <t>シュッカ</t>
    </rPh>
    <rPh sb="45" eb="47">
      <t>バアイ</t>
    </rPh>
    <rPh sb="48" eb="50">
      <t>ソウシン</t>
    </rPh>
    <rPh sb="50" eb="51">
      <t>ゴ</t>
    </rPh>
    <rPh sb="52" eb="54">
      <t>ブツリュウ</t>
    </rPh>
    <rPh sb="59" eb="61">
      <t>シュッカ</t>
    </rPh>
    <rPh sb="61" eb="62">
      <t>カ</t>
    </rPh>
    <rPh sb="66" eb="68">
      <t>レンラク</t>
    </rPh>
    <rPh sb="68" eb="69">
      <t>クダ</t>
    </rPh>
    <phoneticPr fontId="6"/>
  </si>
  <si>
    <t>【注意】「物流保管在庫（登録分）」の方に登録されているアイテムはこちらで出荷依頼をしないで下さい。</t>
    <rPh sb="1" eb="3">
      <t>チュウイ</t>
    </rPh>
    <rPh sb="5" eb="7">
      <t>ブツリュウ</t>
    </rPh>
    <rPh sb="7" eb="9">
      <t>ホカン</t>
    </rPh>
    <rPh sb="9" eb="11">
      <t>ザイコ</t>
    </rPh>
    <rPh sb="12" eb="14">
      <t>トウロク</t>
    </rPh>
    <rPh sb="14" eb="15">
      <t>ブン</t>
    </rPh>
    <rPh sb="18" eb="19">
      <t>ホウ</t>
    </rPh>
    <rPh sb="36" eb="38">
      <t>シュッカ</t>
    </rPh>
    <rPh sb="38" eb="40">
      <t>イライ</t>
    </rPh>
    <phoneticPr fontId="6"/>
  </si>
  <si>
    <r>
      <t xml:space="preserve">【送り主】
</t>
    </r>
    <r>
      <rPr>
        <sz val="10"/>
        <rFont val="ＭＳ Ｐゴシック"/>
        <family val="3"/>
        <charset val="128"/>
      </rPr>
      <t>加工場、店舗、顧客名（どこから物流に届くのか）</t>
    </r>
    <rPh sb="1" eb="2">
      <t>オク</t>
    </rPh>
    <rPh sb="3" eb="4">
      <t>ヌシ</t>
    </rPh>
    <rPh sb="6" eb="8">
      <t>カコウ</t>
    </rPh>
    <rPh sb="8" eb="9">
      <t>バ</t>
    </rPh>
    <rPh sb="10" eb="12">
      <t>テンポ</t>
    </rPh>
    <rPh sb="13" eb="15">
      <t>コキャク</t>
    </rPh>
    <rPh sb="15" eb="16">
      <t>メイ</t>
    </rPh>
    <rPh sb="21" eb="23">
      <t>ブツリュウ</t>
    </rPh>
    <rPh sb="24" eb="25">
      <t>トド</t>
    </rPh>
    <phoneticPr fontId="6"/>
  </si>
  <si>
    <r>
      <t xml:space="preserve">【発送先】
</t>
    </r>
    <r>
      <rPr>
        <sz val="10"/>
        <rFont val="ＭＳ Ｐゴシック"/>
        <family val="3"/>
        <charset val="128"/>
      </rPr>
      <t xml:space="preserve">加工場、店舗、顧客名 </t>
    </r>
    <phoneticPr fontId="6"/>
  </si>
  <si>
    <r>
      <t xml:space="preserve">【柄名、案件名】
</t>
    </r>
    <r>
      <rPr>
        <sz val="10"/>
        <rFont val="ＭＳ Ｐゴシック"/>
        <family val="3"/>
        <charset val="128"/>
      </rPr>
      <t>店舗、加工場宛ての場合は外箱に記載します（無地案件は不要）</t>
    </r>
    <rPh sb="4" eb="6">
      <t>アンケン</t>
    </rPh>
    <rPh sb="6" eb="7">
      <t>メイ</t>
    </rPh>
    <rPh sb="9" eb="11">
      <t>テンポ</t>
    </rPh>
    <rPh sb="12" eb="14">
      <t>カコウ</t>
    </rPh>
    <rPh sb="14" eb="15">
      <t>バ</t>
    </rPh>
    <rPh sb="15" eb="16">
      <t>ア</t>
    </rPh>
    <rPh sb="18" eb="20">
      <t>バアイ</t>
    </rPh>
    <rPh sb="21" eb="23">
      <t>ソトバコ</t>
    </rPh>
    <rPh sb="30" eb="32">
      <t>ムジ</t>
    </rPh>
    <rPh sb="32" eb="34">
      <t>アンケン</t>
    </rPh>
    <phoneticPr fontId="6"/>
  </si>
  <si>
    <r>
      <t xml:space="preserve">【出荷希望日】
</t>
    </r>
    <r>
      <rPr>
        <sz val="10"/>
        <rFont val="ＭＳ Ｐゴシック"/>
        <family val="3"/>
        <charset val="128"/>
      </rPr>
      <t>※便がある時に同梱で良い場合は「いつでも」と記載下さい</t>
    </r>
    <rPh sb="1" eb="3">
      <t>シュッカ</t>
    </rPh>
    <rPh sb="3" eb="6">
      <t>キボウビ</t>
    </rPh>
    <rPh sb="9" eb="10">
      <t>ビン</t>
    </rPh>
    <rPh sb="13" eb="14">
      <t>トキ</t>
    </rPh>
    <rPh sb="15" eb="17">
      <t>ドウコン</t>
    </rPh>
    <rPh sb="18" eb="19">
      <t>ヨ</t>
    </rPh>
    <rPh sb="20" eb="22">
      <t>バアイ</t>
    </rPh>
    <rPh sb="32" eb="33">
      <t>クダ</t>
    </rPh>
    <phoneticPr fontId="6"/>
  </si>
  <si>
    <r>
      <t>【入荷予定日】
※</t>
    </r>
    <r>
      <rPr>
        <sz val="10"/>
        <rFont val="ＭＳ Ｐゴシック"/>
        <family val="3"/>
        <charset val="128"/>
      </rPr>
      <t>既に物流で保管中の場合は「入荷済」と記載下さい</t>
    </r>
  </si>
  <si>
    <r>
      <t xml:space="preserve">【見積+バージョンNo】 
</t>
    </r>
    <r>
      <rPr>
        <sz val="10"/>
        <rFont val="ＭＳ Ｐゴシック"/>
        <family val="3"/>
        <charset val="128"/>
      </rPr>
      <t>※顧客送りは必須</t>
    </r>
    <rPh sb="1" eb="3">
      <t>ミツモリ</t>
    </rPh>
    <rPh sb="15" eb="17">
      <t>コキャク</t>
    </rPh>
    <rPh sb="17" eb="18">
      <t>オク</t>
    </rPh>
    <rPh sb="20" eb="22">
      <t>ヒッス</t>
    </rPh>
    <phoneticPr fontId="6"/>
  </si>
</sst>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76" formatCode="m/d\ &quot;(&quot;aaa&quot;)&quot;"/>
    <numFmt numFmtId="177" formatCode="m/d\ &quot;（&quot;aaa&quot;）&quot;"/>
    <numFmt numFmtId="178" formatCode="General&quot; 枚&quot;"/>
    <numFmt numFmtId="179" formatCode="&quot;計 &quot;General&quot;枚&quot;"/>
    <numFmt numFmtId="180" formatCode="&quot;（&quot;@&quot;）&quot;"/>
    <numFmt numFmtId="181" formatCode="&quot;（&quot;@&quot;）物件&quot;"/>
    <numFmt numFmtId="182" formatCode="[$-F800]dddd\,\ mmmm\ dd\,\ yyyy"/>
  </numFmts>
  <fonts count="112" x14ac:knownFonts="1">
    <font>
      <sz val="11"/>
      <color theme="1"/>
      <name val="ＭＳ Ｐゴシック"/>
      <family val="3"/>
      <charset val="128"/>
    </font>
    <font>
      <sz val="11"/>
      <color indexed="8"/>
      <name val="ＭＳ Ｐゴシック"/>
      <family val="3"/>
      <charset val="128"/>
    </font>
    <font>
      <sz val="11"/>
      <color indexed="8"/>
      <name val="ＭＳ Ｐゴシック"/>
      <family val="3"/>
      <charset val="128"/>
    </font>
    <font>
      <b/>
      <sz val="18"/>
      <color indexed="56"/>
      <name val="ＭＳ Ｐゴシック"/>
      <family val="3"/>
      <charset val="128"/>
    </font>
    <font>
      <b/>
      <sz val="15"/>
      <color indexed="56"/>
      <name val="ＭＳ Ｐゴシック"/>
      <family val="3"/>
      <charset val="128"/>
    </font>
    <font>
      <b/>
      <sz val="13"/>
      <color indexed="56"/>
      <name val="ＭＳ Ｐゴシック"/>
      <family val="3"/>
      <charset val="128"/>
    </font>
    <font>
      <sz val="6"/>
      <name val="ＭＳ Ｐゴシック"/>
      <family val="3"/>
      <charset val="128"/>
    </font>
    <font>
      <sz val="11"/>
      <name val="ＭＳ Ｐゴシック"/>
      <family val="3"/>
      <charset val="128"/>
    </font>
    <font>
      <b/>
      <sz val="18"/>
      <name val="HG丸ｺﾞｼｯｸM-PRO"/>
      <family val="3"/>
      <charset val="128"/>
    </font>
    <font>
      <sz val="10"/>
      <name val="HG丸ｺﾞｼｯｸM-PRO"/>
      <family val="3"/>
      <charset val="128"/>
    </font>
    <font>
      <sz val="11"/>
      <name val="HG丸ｺﾞｼｯｸM-PRO"/>
      <family val="3"/>
      <charset val="128"/>
    </font>
    <font>
      <sz val="6"/>
      <name val="ＭＳ Ｐゴシック"/>
      <family val="3"/>
      <charset val="128"/>
    </font>
    <font>
      <sz val="20"/>
      <name val="HGP創英角ｺﾞｼｯｸUB"/>
      <family val="3"/>
      <charset val="128"/>
    </font>
    <font>
      <b/>
      <sz val="20"/>
      <name val="HG丸ｺﾞｼｯｸM-PRO"/>
      <family val="3"/>
      <charset val="128"/>
    </font>
    <font>
      <sz val="12"/>
      <name val="HG丸ｺﾞｼｯｸM-PRO"/>
      <family val="3"/>
      <charset val="128"/>
    </font>
    <font>
      <sz val="14"/>
      <name val="HG丸ｺﾞｼｯｸM-PRO"/>
      <family val="3"/>
      <charset val="128"/>
    </font>
    <font>
      <b/>
      <sz val="11"/>
      <name val="HG丸ｺﾞｼｯｸM-PRO"/>
      <family val="3"/>
      <charset val="128"/>
    </font>
    <font>
      <sz val="16"/>
      <name val="HGP創英角ｺﾞｼｯｸUB"/>
      <family val="3"/>
      <charset val="128"/>
    </font>
    <font>
      <b/>
      <sz val="12"/>
      <name val="HG丸ｺﾞｼｯｸM-PRO"/>
      <family val="3"/>
      <charset val="128"/>
    </font>
    <font>
      <b/>
      <sz val="16"/>
      <name val="HGP創英角ｺﾞｼｯｸUB"/>
      <family val="3"/>
      <charset val="128"/>
    </font>
    <font>
      <b/>
      <sz val="11"/>
      <color indexed="9"/>
      <name val="HG丸ｺﾞｼｯｸM-PRO"/>
      <family val="3"/>
      <charset val="128"/>
    </font>
    <font>
      <b/>
      <sz val="16"/>
      <name val="HG丸ｺﾞｼｯｸM-PRO"/>
      <family val="3"/>
      <charset val="128"/>
    </font>
    <font>
      <b/>
      <sz val="12"/>
      <color indexed="9"/>
      <name val="HG丸ｺﾞｼｯｸM-PRO"/>
      <family val="3"/>
      <charset val="128"/>
    </font>
    <font>
      <sz val="10.5"/>
      <name val="HG丸ｺﾞｼｯｸM-PRO"/>
      <family val="3"/>
      <charset val="128"/>
    </font>
    <font>
      <sz val="12"/>
      <name val="ＭＳ Ｐゴシック"/>
      <family val="3"/>
      <charset val="128"/>
    </font>
    <font>
      <sz val="13"/>
      <name val="HG丸ｺﾞｼｯｸM-PRO"/>
      <family val="3"/>
      <charset val="128"/>
    </font>
    <font>
      <b/>
      <sz val="18"/>
      <name val="HGP創英角ｺﾞｼｯｸUB"/>
      <family val="3"/>
      <charset val="128"/>
    </font>
    <font>
      <b/>
      <sz val="14"/>
      <name val="HG丸ｺﾞｼｯｸM-PRO"/>
      <family val="3"/>
      <charset val="128"/>
    </font>
    <font>
      <sz val="8"/>
      <name val="ＭＳ Ｐゴシック"/>
      <family val="3"/>
      <charset val="128"/>
    </font>
    <font>
      <sz val="10.5"/>
      <name val="ＭＳ Ｐゴシック"/>
      <family val="3"/>
      <charset val="128"/>
    </font>
    <font>
      <b/>
      <sz val="12"/>
      <name val="ＭＳ Ｐゴシック"/>
      <family val="3"/>
      <charset val="128"/>
    </font>
    <font>
      <sz val="11.5"/>
      <name val="ＭＳ Ｐゴシック"/>
      <family val="3"/>
      <charset val="128"/>
    </font>
    <font>
      <sz val="13"/>
      <name val="ＭＳ Ｐゴシック"/>
      <family val="3"/>
      <charset val="128"/>
    </font>
    <font>
      <sz val="8.5"/>
      <name val="HG丸ｺﾞｼｯｸM-PRO"/>
      <family val="3"/>
      <charset val="128"/>
    </font>
    <font>
      <b/>
      <sz val="14"/>
      <name val="ＭＳ Ｐゴシック"/>
      <family val="3"/>
      <charset val="128"/>
    </font>
    <font>
      <b/>
      <sz val="16"/>
      <name val="ＭＳ Ｐゴシック"/>
      <family val="3"/>
      <charset val="128"/>
    </font>
    <font>
      <b/>
      <sz val="22"/>
      <name val="HG丸ｺﾞｼｯｸM-PRO"/>
      <family val="3"/>
      <charset val="128"/>
    </font>
    <font>
      <b/>
      <sz val="18"/>
      <color indexed="60"/>
      <name val="HG丸ｺﾞｼｯｸM-PRO"/>
      <family val="3"/>
      <charset val="128"/>
    </font>
    <font>
      <sz val="18"/>
      <name val="HGP創英角ｺﾞｼｯｸUB"/>
      <family val="3"/>
      <charset val="128"/>
    </font>
    <font>
      <sz val="12"/>
      <name val="HGP創英角ｺﾞｼｯｸUB"/>
      <family val="3"/>
      <charset val="128"/>
    </font>
    <font>
      <sz val="13.5"/>
      <name val="HGP創英角ｺﾞｼｯｸUB"/>
      <family val="3"/>
      <charset val="128"/>
    </font>
    <font>
      <sz val="10.5"/>
      <name val="MS UI Gothic"/>
      <family val="3"/>
      <charset val="128"/>
    </font>
    <font>
      <b/>
      <sz val="10.5"/>
      <color indexed="9"/>
      <name val="MS UI Gothic"/>
      <family val="3"/>
      <charset val="128"/>
    </font>
    <font>
      <sz val="12"/>
      <name val="MS UI Gothic"/>
      <family val="3"/>
      <charset val="128"/>
    </font>
    <font>
      <b/>
      <sz val="12"/>
      <name val="MS UI Gothic"/>
      <family val="3"/>
      <charset val="128"/>
    </font>
    <font>
      <b/>
      <sz val="18"/>
      <name val="Meiryo UI"/>
      <family val="3"/>
      <charset val="128"/>
    </font>
    <font>
      <b/>
      <sz val="12"/>
      <name val="Meiryo UI"/>
      <family val="3"/>
      <charset val="128"/>
    </font>
    <font>
      <sz val="6"/>
      <name val="ＭＳ Ｐゴシック"/>
      <family val="3"/>
      <charset val="128"/>
    </font>
    <font>
      <sz val="14"/>
      <name val="ＭＳ Ｐゴシック"/>
      <family val="3"/>
      <charset val="128"/>
    </font>
    <font>
      <sz val="9"/>
      <color indexed="8"/>
      <name val="ＭＳ Ｐゴシック"/>
      <family val="3"/>
      <charset val="128"/>
    </font>
    <font>
      <b/>
      <sz val="11"/>
      <color indexed="60"/>
      <name val="ＭＳ Ｐゴシック"/>
      <family val="3"/>
      <charset val="128"/>
    </font>
    <font>
      <b/>
      <sz val="20"/>
      <color indexed="60"/>
      <name val="ＭＳ Ｐゴシック"/>
      <family val="3"/>
      <charset val="128"/>
    </font>
    <font>
      <b/>
      <sz val="11"/>
      <color indexed="8"/>
      <name val="ＭＳ Ｐゴシック"/>
      <family val="3"/>
      <charset val="128"/>
    </font>
    <font>
      <b/>
      <sz val="14"/>
      <name val="MS UI Gothic"/>
      <family val="3"/>
      <charset val="128"/>
    </font>
    <font>
      <sz val="9"/>
      <color indexed="8"/>
      <name val="ＭＳ Ｐゴシック"/>
      <family val="3"/>
      <charset val="128"/>
    </font>
    <font>
      <b/>
      <sz val="11"/>
      <name val="ＭＳ Ｐゴシック"/>
      <family val="3"/>
      <charset val="128"/>
    </font>
    <font>
      <b/>
      <sz val="17"/>
      <name val="Meiryo UI"/>
      <family val="3"/>
      <charset val="128"/>
    </font>
    <font>
      <sz val="8"/>
      <color indexed="8"/>
      <name val="ＭＳ Ｐゴシック"/>
      <family val="3"/>
      <charset val="128"/>
    </font>
    <font>
      <sz val="11"/>
      <name val="ＭＳ Ｐゴシック"/>
      <family val="3"/>
      <charset val="128"/>
    </font>
    <font>
      <b/>
      <sz val="10"/>
      <name val="Meiryo UI"/>
      <family val="3"/>
      <charset val="128"/>
    </font>
    <font>
      <sz val="24"/>
      <name val="HGP創英角ｺﾞｼｯｸUB"/>
      <family val="3"/>
      <charset val="128"/>
    </font>
    <font>
      <sz val="11"/>
      <color indexed="22"/>
      <name val="ＭＳ Ｐゴシック"/>
      <family val="3"/>
      <charset val="128"/>
    </font>
    <font>
      <sz val="14"/>
      <name val="MS UI Gothic"/>
      <family val="3"/>
      <charset val="128"/>
    </font>
    <font>
      <sz val="18"/>
      <name val="Meiryo UI"/>
      <family val="3"/>
      <charset val="128"/>
    </font>
    <font>
      <sz val="11"/>
      <color indexed="8"/>
      <name val="ＭＳ Ｐゴシック"/>
      <family val="3"/>
      <charset val="128"/>
    </font>
    <font>
      <sz val="11"/>
      <color indexed="8"/>
      <name val="ＭＳ Ｐゴシック"/>
      <family val="3"/>
      <charset val="128"/>
    </font>
    <font>
      <sz val="10"/>
      <color indexed="8"/>
      <name val="メイリオ"/>
      <family val="3"/>
      <charset val="128"/>
    </font>
    <font>
      <sz val="16"/>
      <name val="MS UI Gothic"/>
      <family val="3"/>
      <charset val="128"/>
    </font>
    <font>
      <sz val="11"/>
      <color indexed="18"/>
      <name val="ＭＳ ゴシック"/>
      <family val="3"/>
      <charset val="128"/>
    </font>
    <font>
      <b/>
      <sz val="22"/>
      <name val="ＭＳ Ｐゴシック"/>
      <family val="3"/>
      <charset val="128"/>
    </font>
    <font>
      <sz val="16"/>
      <name val="ＭＳ Ｐゴシック"/>
      <family val="3"/>
      <charset val="128"/>
    </font>
    <font>
      <sz val="22"/>
      <color indexed="9"/>
      <name val="HGP創英角ｺﾞｼｯｸUB"/>
      <family val="3"/>
      <charset val="128"/>
    </font>
    <font>
      <b/>
      <sz val="24"/>
      <name val="ＭＳ Ｐゴシック"/>
      <family val="3"/>
      <charset val="128"/>
    </font>
    <font>
      <sz val="20"/>
      <name val="ＭＳ Ｐゴシック"/>
      <family val="3"/>
      <charset val="128"/>
    </font>
    <font>
      <sz val="24"/>
      <name val="ＭＳ Ｐゴシック"/>
      <family val="3"/>
      <charset val="128"/>
    </font>
    <font>
      <sz val="12"/>
      <color indexed="8"/>
      <name val="ＭＳ Ｐゴシック"/>
      <family val="3"/>
      <charset val="128"/>
    </font>
    <font>
      <sz val="18"/>
      <color indexed="9"/>
      <name val="HGP創英角ｺﾞｼｯｸUB"/>
      <family val="3"/>
      <charset val="128"/>
    </font>
    <font>
      <sz val="15"/>
      <name val="HG丸ｺﾞｼｯｸM-PRO"/>
      <family val="3"/>
      <charset val="128"/>
    </font>
    <font>
      <sz val="28"/>
      <name val="HG丸ｺﾞｼｯｸM-PRO"/>
      <family val="3"/>
      <charset val="128"/>
    </font>
    <font>
      <sz val="9"/>
      <name val="ＭＳ Ｐゴシック"/>
      <family val="3"/>
      <charset val="128"/>
    </font>
    <font>
      <sz val="11"/>
      <color theme="1"/>
      <name val="ＭＳ Ｐゴシック"/>
      <family val="3"/>
      <charset val="128"/>
    </font>
    <font>
      <sz val="11"/>
      <color theme="0"/>
      <name val="ＭＳ Ｐゴシック"/>
      <family val="3"/>
      <charset val="128"/>
    </font>
    <font>
      <b/>
      <sz val="18"/>
      <color theme="3"/>
      <name val="ＭＳ Ｐゴシック"/>
      <family val="3"/>
      <charset val="128"/>
      <scheme val="major"/>
    </font>
    <font>
      <b/>
      <sz val="11"/>
      <color theme="0"/>
      <name val="ＭＳ Ｐゴシック"/>
      <family val="3"/>
      <charset val="128"/>
    </font>
    <font>
      <sz val="11"/>
      <color rgb="FF9C6500"/>
      <name val="ＭＳ Ｐゴシック"/>
      <family val="3"/>
      <charset val="128"/>
    </font>
    <font>
      <sz val="11"/>
      <color rgb="FFFA7D00"/>
      <name val="ＭＳ Ｐゴシック"/>
      <family val="3"/>
      <charset val="128"/>
    </font>
    <font>
      <sz val="11"/>
      <color rgb="FF9C0006"/>
      <name val="ＭＳ Ｐゴシック"/>
      <family val="3"/>
      <charset val="128"/>
    </font>
    <font>
      <b/>
      <sz val="11"/>
      <color rgb="FFFA7D00"/>
      <name val="ＭＳ Ｐゴシック"/>
      <family val="3"/>
      <charset val="128"/>
    </font>
    <font>
      <sz val="11"/>
      <color rgb="FFFF0000"/>
      <name val="ＭＳ Ｐゴシック"/>
      <family val="3"/>
      <charset val="128"/>
    </font>
    <font>
      <b/>
      <sz val="15"/>
      <color theme="3"/>
      <name val="ＭＳ Ｐゴシック"/>
      <family val="3"/>
      <charset val="128"/>
    </font>
    <font>
      <b/>
      <sz val="13"/>
      <color theme="3"/>
      <name val="ＭＳ Ｐゴシック"/>
      <family val="3"/>
      <charset val="128"/>
    </font>
    <font>
      <b/>
      <sz val="11"/>
      <color theme="3"/>
      <name val="ＭＳ Ｐゴシック"/>
      <family val="3"/>
      <charset val="128"/>
    </font>
    <font>
      <b/>
      <sz val="11"/>
      <color theme="1"/>
      <name val="ＭＳ Ｐゴシック"/>
      <family val="3"/>
      <charset val="128"/>
    </font>
    <font>
      <b/>
      <sz val="11"/>
      <color rgb="FF3F3F3F"/>
      <name val="ＭＳ Ｐゴシック"/>
      <family val="3"/>
      <charset val="128"/>
    </font>
    <font>
      <i/>
      <sz val="11"/>
      <color rgb="FF7F7F7F"/>
      <name val="ＭＳ Ｐゴシック"/>
      <family val="3"/>
      <charset val="128"/>
    </font>
    <font>
      <sz val="11"/>
      <color rgb="FF3F3F76"/>
      <name val="ＭＳ Ｐゴシック"/>
      <family val="3"/>
      <charset val="128"/>
    </font>
    <font>
      <sz val="11"/>
      <color theme="1"/>
      <name val="ＭＳ Ｐゴシック"/>
      <family val="3"/>
      <charset val="128"/>
      <scheme val="minor"/>
    </font>
    <font>
      <sz val="11"/>
      <color rgb="FF006100"/>
      <name val="ＭＳ Ｐゴシック"/>
      <family val="3"/>
      <charset val="128"/>
    </font>
    <font>
      <sz val="22"/>
      <color theme="0"/>
      <name val="HGP創英角ｺﾞｼｯｸUB"/>
      <family val="3"/>
      <charset val="128"/>
    </font>
    <font>
      <sz val="16"/>
      <color theme="1"/>
      <name val="ＭＳ Ｐゴシック"/>
      <family val="3"/>
      <charset val="128"/>
    </font>
    <font>
      <sz val="11.5"/>
      <color theme="1"/>
      <name val="ＭＳ Ｐゴシック"/>
      <family val="3"/>
      <charset val="128"/>
    </font>
    <font>
      <sz val="16"/>
      <color theme="1"/>
      <name val="HG丸ｺﾞｼｯｸM-PRO"/>
      <family val="3"/>
      <charset val="128"/>
    </font>
    <font>
      <b/>
      <sz val="9"/>
      <color theme="1"/>
      <name val="ＭＳ Ｐゴシック"/>
      <family val="3"/>
      <charset val="128"/>
    </font>
    <font>
      <b/>
      <sz val="12"/>
      <color theme="1"/>
      <name val="ＭＳ Ｐゴシック"/>
      <family val="3"/>
      <charset val="128"/>
    </font>
    <font>
      <sz val="16"/>
      <name val="ＭＳ Ｐゴシック"/>
      <family val="3"/>
      <charset val="128"/>
      <scheme val="minor"/>
    </font>
    <font>
      <sz val="14"/>
      <name val="ＭＳ Ｐゴシック"/>
      <family val="3"/>
      <charset val="128"/>
      <scheme val="minor"/>
    </font>
    <font>
      <sz val="11"/>
      <color rgb="FF000000"/>
      <name val="ＭＳ Ｐゴシック"/>
      <family val="3"/>
      <charset val="128"/>
    </font>
    <font>
      <b/>
      <sz val="18"/>
      <name val="ＭＳ Ｐゴシック"/>
      <family val="3"/>
      <charset val="128"/>
    </font>
    <font>
      <sz val="12"/>
      <color theme="1"/>
      <name val="ＭＳ Ｐゴシック"/>
      <family val="3"/>
      <charset val="128"/>
    </font>
    <font>
      <b/>
      <sz val="14"/>
      <color rgb="FFFF0000"/>
      <name val="ＭＳ Ｐゴシック"/>
      <family val="3"/>
      <charset val="128"/>
    </font>
    <font>
      <b/>
      <u/>
      <sz val="11"/>
      <color rgb="FFFF0000"/>
      <name val="ＭＳ Ｐゴシック"/>
      <family val="3"/>
      <charset val="128"/>
    </font>
    <font>
      <sz val="10"/>
      <name val="ＭＳ Ｐゴシック"/>
      <family val="3"/>
      <charset val="128"/>
    </font>
  </fonts>
  <fills count="47">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11"/>
      </patternFill>
    </fill>
    <fill>
      <patternFill patternType="solid">
        <fgColor indexed="36"/>
      </patternFill>
    </fill>
    <fill>
      <patternFill patternType="solid">
        <fgColor indexed="52"/>
      </patternFill>
    </fill>
    <fill>
      <patternFill patternType="solid">
        <fgColor indexed="13"/>
        <bgColor indexed="64"/>
      </patternFill>
    </fill>
    <fill>
      <patternFill patternType="gray125">
        <fgColor indexed="8"/>
      </patternFill>
    </fill>
    <fill>
      <patternFill patternType="solid">
        <fgColor indexed="51"/>
        <bgColor indexed="64"/>
      </patternFill>
    </fill>
    <fill>
      <patternFill patternType="solid">
        <fgColor indexed="27"/>
        <bgColor indexed="64"/>
      </patternFill>
    </fill>
    <fill>
      <patternFill patternType="solid">
        <fgColor indexed="29"/>
        <bgColor indexed="64"/>
      </patternFill>
    </fill>
    <fill>
      <patternFill patternType="solid">
        <fgColor indexed="22"/>
        <bgColor indexed="64"/>
      </patternFill>
    </fill>
    <fill>
      <patternFill patternType="solid">
        <fgColor indexed="8"/>
        <bgColor indexed="64"/>
      </patternFill>
    </fill>
    <fill>
      <patternFill patternType="solid">
        <fgColor indexed="26"/>
        <bgColor indexed="64"/>
      </patternFill>
    </fill>
    <fill>
      <patternFill patternType="solid">
        <fgColor indexed="9"/>
        <bgColor indexed="64"/>
      </patternFill>
    </fill>
    <fill>
      <patternFill patternType="solid">
        <fgColor indexed="10"/>
        <bgColor indexed="64"/>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8"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A5A5A5"/>
      </patternFill>
    </fill>
    <fill>
      <patternFill patternType="solid">
        <fgColor rgb="FFFFEB9C"/>
      </patternFill>
    </fill>
    <fill>
      <patternFill patternType="solid">
        <fgColor rgb="FFFFFFCC"/>
      </patternFill>
    </fill>
    <fill>
      <patternFill patternType="solid">
        <fgColor rgb="FFFFC7CE"/>
      </patternFill>
    </fill>
    <fill>
      <patternFill patternType="solid">
        <fgColor rgb="FFF2F2F2"/>
      </patternFill>
    </fill>
    <fill>
      <patternFill patternType="solid">
        <fgColor rgb="FFFFCC99"/>
      </patternFill>
    </fill>
    <fill>
      <patternFill patternType="solid">
        <fgColor rgb="FFC6EFCE"/>
      </patternFill>
    </fill>
    <fill>
      <patternFill patternType="solid">
        <fgColor rgb="FFFFC000"/>
        <bgColor indexed="64"/>
      </patternFill>
    </fill>
    <fill>
      <patternFill patternType="solid">
        <fgColor theme="1"/>
        <bgColor indexed="64"/>
      </patternFill>
    </fill>
    <fill>
      <patternFill patternType="solid">
        <fgColor theme="2"/>
        <bgColor indexed="64"/>
      </patternFill>
    </fill>
    <fill>
      <patternFill patternType="solid">
        <fgColor rgb="FFFFFF00"/>
        <bgColor indexed="64"/>
      </patternFill>
    </fill>
    <fill>
      <patternFill patternType="solid">
        <fgColor theme="0"/>
        <bgColor indexed="64"/>
      </patternFill>
    </fill>
  </fills>
  <borders count="184">
    <border>
      <left/>
      <right/>
      <top/>
      <bottom/>
      <diagonal/>
    </border>
    <border>
      <left style="thin">
        <color indexed="64"/>
      </left>
      <right/>
      <top style="thin">
        <color indexed="64"/>
      </top>
      <bottom/>
      <diagonal/>
    </border>
    <border>
      <left style="thin">
        <color indexed="64"/>
      </left>
      <right/>
      <top/>
      <bottom style="hair">
        <color indexed="64"/>
      </bottom>
      <diagonal/>
    </border>
    <border>
      <left style="thin">
        <color indexed="64"/>
      </left>
      <right style="medium">
        <color indexed="64"/>
      </right>
      <top style="thin">
        <color indexed="64"/>
      </top>
      <bottom/>
      <diagonal/>
    </border>
    <border>
      <left style="thin">
        <color indexed="64"/>
      </left>
      <right style="medium">
        <color indexed="64"/>
      </right>
      <top style="dotted">
        <color indexed="64"/>
      </top>
      <bottom style="dotted">
        <color indexed="64"/>
      </bottom>
      <diagonal/>
    </border>
    <border>
      <left style="thin">
        <color indexed="64"/>
      </left>
      <right style="medium">
        <color indexed="64"/>
      </right>
      <top/>
      <bottom style="medium">
        <color indexed="64"/>
      </bottom>
      <diagonal/>
    </border>
    <border>
      <left style="thin">
        <color indexed="64"/>
      </left>
      <right style="medium">
        <color indexed="64"/>
      </right>
      <top style="medium">
        <color indexed="64"/>
      </top>
      <bottom style="thin">
        <color indexed="64"/>
      </bottom>
      <diagonal/>
    </border>
    <border>
      <left/>
      <right/>
      <top style="thin">
        <color indexed="64"/>
      </top>
      <bottom/>
      <diagonal/>
    </border>
    <border>
      <left/>
      <right style="double">
        <color indexed="64"/>
      </right>
      <top/>
      <bottom style="double">
        <color indexed="64"/>
      </bottom>
      <diagonal/>
    </border>
    <border>
      <left/>
      <right/>
      <top/>
      <bottom style="double">
        <color indexed="64"/>
      </bottom>
      <diagonal/>
    </border>
    <border>
      <left/>
      <right/>
      <top style="dotted">
        <color indexed="64"/>
      </top>
      <bottom style="dotted">
        <color indexed="64"/>
      </bottom>
      <diagonal/>
    </border>
    <border>
      <left/>
      <right/>
      <top style="dotted">
        <color indexed="64"/>
      </top>
      <bottom style="medium">
        <color indexed="64"/>
      </bottom>
      <diagonal/>
    </border>
    <border>
      <left/>
      <right style="double">
        <color indexed="64"/>
      </right>
      <top style="double">
        <color indexed="64"/>
      </top>
      <bottom style="hair">
        <color indexed="64"/>
      </bottom>
      <diagonal/>
    </border>
    <border>
      <left/>
      <right style="double">
        <color indexed="64"/>
      </right>
      <top style="double">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style="thin">
        <color indexed="64"/>
      </right>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top style="thin">
        <color indexed="64"/>
      </top>
      <bottom style="dotted">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medium">
        <color indexed="64"/>
      </right>
      <top style="thin">
        <color indexed="64"/>
      </top>
      <bottom style="dotted">
        <color indexed="64"/>
      </bottom>
      <diagonal/>
    </border>
    <border>
      <left/>
      <right style="medium">
        <color indexed="64"/>
      </right>
      <top style="thin">
        <color indexed="64"/>
      </top>
      <bottom style="medium">
        <color indexed="64"/>
      </bottom>
      <diagonal/>
    </border>
    <border>
      <left style="dotted">
        <color indexed="64"/>
      </left>
      <right/>
      <top style="thin">
        <color indexed="64"/>
      </top>
      <bottom style="dotted">
        <color indexed="64"/>
      </bottom>
      <diagonal/>
    </border>
    <border>
      <left/>
      <right style="thin">
        <color indexed="64"/>
      </right>
      <top style="thin">
        <color indexed="64"/>
      </top>
      <bottom style="dotted">
        <color indexed="64"/>
      </bottom>
      <diagonal/>
    </border>
    <border>
      <left/>
      <right style="thin">
        <color indexed="64"/>
      </right>
      <top style="dotted">
        <color indexed="64"/>
      </top>
      <bottom style="dotted">
        <color indexed="64"/>
      </bottom>
      <diagonal/>
    </border>
    <border>
      <left/>
      <right style="thin">
        <color indexed="64"/>
      </right>
      <top style="dotted">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dashed">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ck">
        <color indexed="64"/>
      </left>
      <right style="medium">
        <color indexed="64"/>
      </right>
      <top style="thick">
        <color indexed="64"/>
      </top>
      <bottom style="thick">
        <color indexed="64"/>
      </bottom>
      <diagonal/>
    </border>
    <border>
      <left style="medium">
        <color indexed="64"/>
      </left>
      <right style="medium">
        <color indexed="64"/>
      </right>
      <top style="thick">
        <color indexed="64"/>
      </top>
      <bottom style="thick">
        <color indexed="64"/>
      </bottom>
      <diagonal/>
    </border>
    <border>
      <left style="medium">
        <color indexed="64"/>
      </left>
      <right/>
      <top style="thick">
        <color indexed="64"/>
      </top>
      <bottom style="thick">
        <color indexed="64"/>
      </bottom>
      <diagonal/>
    </border>
    <border>
      <left/>
      <right style="thick">
        <color indexed="64"/>
      </right>
      <top style="thick">
        <color indexed="64"/>
      </top>
      <bottom style="thick">
        <color indexed="64"/>
      </bottom>
      <diagonal/>
    </border>
    <border>
      <left style="medium">
        <color indexed="64"/>
      </left>
      <right style="medium">
        <color indexed="64"/>
      </right>
      <top/>
      <bottom style="medium">
        <color indexed="64"/>
      </bottom>
      <diagonal/>
    </border>
    <border>
      <left style="medium">
        <color indexed="64"/>
      </left>
      <right style="thin">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style="medium">
        <color indexed="64"/>
      </left>
      <right/>
      <top style="medium">
        <color indexed="64"/>
      </top>
      <bottom/>
      <diagonal/>
    </border>
    <border>
      <left style="thin">
        <color indexed="64"/>
      </left>
      <right style="thin">
        <color indexed="64"/>
      </right>
      <top style="medium">
        <color indexed="64"/>
      </top>
      <bottom/>
      <diagonal/>
    </border>
    <border>
      <left style="medium">
        <color indexed="64"/>
      </left>
      <right/>
      <top style="thin">
        <color indexed="64"/>
      </top>
      <bottom/>
      <diagonal/>
    </border>
    <border>
      <left style="hair">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dotted">
        <color indexed="64"/>
      </right>
      <top style="medium">
        <color indexed="64"/>
      </top>
      <bottom style="thin">
        <color indexed="64"/>
      </bottom>
      <diagonal/>
    </border>
    <border>
      <left style="dotted">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style="dotted">
        <color indexed="64"/>
      </right>
      <top style="medium">
        <color indexed="64"/>
      </top>
      <bottom/>
      <diagonal/>
    </border>
    <border>
      <left style="thin">
        <color indexed="64"/>
      </left>
      <right/>
      <top style="medium">
        <color indexed="64"/>
      </top>
      <bottom style="thin">
        <color indexed="64"/>
      </bottom>
      <diagonal/>
    </border>
    <border>
      <left/>
      <right style="thin">
        <color indexed="64"/>
      </right>
      <top style="thin">
        <color indexed="64"/>
      </top>
      <bottom style="medium">
        <color indexed="64"/>
      </bottom>
      <diagonal/>
    </border>
    <border>
      <left/>
      <right style="dotted">
        <color indexed="64"/>
      </right>
      <top style="thin">
        <color indexed="64"/>
      </top>
      <bottom/>
      <diagonal/>
    </border>
    <border>
      <left style="dotted">
        <color indexed="64"/>
      </left>
      <right/>
      <top style="thin">
        <color indexed="64"/>
      </top>
      <bottom/>
      <diagonal/>
    </border>
    <border>
      <left/>
      <right style="medium">
        <color indexed="64"/>
      </right>
      <top style="thin">
        <color indexed="64"/>
      </top>
      <bottom/>
      <diagonal/>
    </border>
    <border>
      <left/>
      <right style="dotted">
        <color indexed="64"/>
      </right>
      <top style="thin">
        <color indexed="64"/>
      </top>
      <bottom style="medium">
        <color indexed="64"/>
      </bottom>
      <diagonal/>
    </border>
    <border>
      <left style="dotted">
        <color indexed="64"/>
      </left>
      <right/>
      <top style="thin">
        <color indexed="64"/>
      </top>
      <bottom style="medium">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right style="dotted">
        <color indexed="64"/>
      </right>
      <top/>
      <bottom style="thin">
        <color indexed="64"/>
      </bottom>
      <diagonal/>
    </border>
    <border>
      <left style="dotted">
        <color indexed="64"/>
      </left>
      <right/>
      <top/>
      <bottom style="thin">
        <color indexed="64"/>
      </bottom>
      <diagonal/>
    </border>
    <border>
      <left/>
      <right style="thin">
        <color indexed="64"/>
      </right>
      <top style="thin">
        <color indexed="64"/>
      </top>
      <bottom/>
      <diagonal/>
    </border>
    <border>
      <left/>
      <right/>
      <top style="thin">
        <color indexed="64"/>
      </top>
      <bottom style="thin">
        <color indexed="64"/>
      </bottom>
      <diagonal/>
    </border>
    <border>
      <left/>
      <right style="dotted">
        <color indexed="64"/>
      </right>
      <top style="thin">
        <color indexed="64"/>
      </top>
      <bottom style="thin">
        <color indexed="64"/>
      </bottom>
      <diagonal/>
    </border>
    <border>
      <left style="dotted">
        <color indexed="64"/>
      </left>
      <right/>
      <top style="thin">
        <color indexed="64"/>
      </top>
      <bottom style="thin">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thin">
        <color indexed="64"/>
      </right>
      <top style="medium">
        <color indexed="64"/>
      </top>
      <bottom/>
      <diagonal/>
    </border>
    <border>
      <left style="thin">
        <color indexed="64"/>
      </left>
      <right/>
      <top style="dotted">
        <color indexed="64"/>
      </top>
      <bottom/>
      <diagonal/>
    </border>
    <border>
      <left/>
      <right/>
      <top style="dotted">
        <color indexed="64"/>
      </top>
      <bottom/>
      <diagonal/>
    </border>
    <border>
      <left style="dotted">
        <color indexed="64"/>
      </left>
      <right/>
      <top style="dotted">
        <color indexed="64"/>
      </top>
      <bottom style="thin">
        <color indexed="64"/>
      </bottom>
      <diagonal/>
    </border>
    <border>
      <left/>
      <right/>
      <top style="dotted">
        <color indexed="64"/>
      </top>
      <bottom style="thin">
        <color indexed="64"/>
      </bottom>
      <diagonal/>
    </border>
    <border>
      <left/>
      <right style="dotted">
        <color indexed="64"/>
      </right>
      <top style="dotted">
        <color indexed="64"/>
      </top>
      <bottom style="thin">
        <color indexed="64"/>
      </bottom>
      <diagonal/>
    </border>
    <border>
      <left/>
      <right style="medium">
        <color indexed="64"/>
      </right>
      <top style="dotted">
        <color indexed="64"/>
      </top>
      <bottom style="thin">
        <color indexed="64"/>
      </bottom>
      <diagonal/>
    </border>
    <border>
      <left style="thin">
        <color indexed="64"/>
      </left>
      <right/>
      <top style="medium">
        <color indexed="64"/>
      </top>
      <bottom style="dotted">
        <color indexed="64"/>
      </bottom>
      <diagonal/>
    </border>
    <border>
      <left/>
      <right/>
      <top style="medium">
        <color indexed="64"/>
      </top>
      <bottom style="dotted">
        <color indexed="64"/>
      </bottom>
      <diagonal/>
    </border>
    <border>
      <left/>
      <right style="medium">
        <color indexed="64"/>
      </right>
      <top style="medium">
        <color indexed="64"/>
      </top>
      <bottom style="dotted">
        <color indexed="64"/>
      </bottom>
      <diagonal/>
    </border>
    <border>
      <left style="thin">
        <color indexed="64"/>
      </left>
      <right/>
      <top style="dotted">
        <color indexed="64"/>
      </top>
      <bottom style="dotted">
        <color indexed="64"/>
      </bottom>
      <diagonal/>
    </border>
    <border>
      <left style="dotted">
        <color indexed="64"/>
      </left>
      <right/>
      <top style="dotted">
        <color indexed="64"/>
      </top>
      <bottom style="dotted">
        <color indexed="64"/>
      </bottom>
      <diagonal/>
    </border>
    <border>
      <left/>
      <right style="dotted">
        <color indexed="64"/>
      </right>
      <top style="dotted">
        <color indexed="64"/>
      </top>
      <bottom style="dotted">
        <color indexed="64"/>
      </bottom>
      <diagonal/>
    </border>
    <border>
      <left/>
      <right style="medium">
        <color indexed="64"/>
      </right>
      <top style="dotted">
        <color indexed="64"/>
      </top>
      <bottom style="dotted">
        <color indexed="64"/>
      </bottom>
      <diagonal/>
    </border>
    <border>
      <left/>
      <right style="dotted">
        <color indexed="64"/>
      </right>
      <top/>
      <bottom/>
      <diagonal/>
    </border>
    <border>
      <left style="thin">
        <color indexed="64"/>
      </left>
      <right/>
      <top style="dotted">
        <color indexed="64"/>
      </top>
      <bottom style="thin">
        <color indexed="64"/>
      </bottom>
      <diagonal/>
    </border>
    <border>
      <left style="dotted">
        <color indexed="64"/>
      </left>
      <right/>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diagonal/>
    </border>
    <border>
      <left style="dotted">
        <color indexed="64"/>
      </left>
      <right style="thin">
        <color indexed="64"/>
      </right>
      <top style="thin">
        <color indexed="64"/>
      </top>
      <bottom/>
      <diagonal/>
    </border>
    <border>
      <left style="thin">
        <color indexed="64"/>
      </left>
      <right/>
      <top style="thin">
        <color indexed="64"/>
      </top>
      <bottom style="dotted">
        <color indexed="64"/>
      </bottom>
      <diagonal/>
    </border>
    <border>
      <left/>
      <right style="dotted">
        <color indexed="64"/>
      </right>
      <top style="thin">
        <color indexed="64"/>
      </top>
      <bottom style="dotted">
        <color indexed="64"/>
      </bottom>
      <diagonal/>
    </border>
    <border>
      <left style="thin">
        <color indexed="64"/>
      </left>
      <right/>
      <top/>
      <bottom style="dotted">
        <color indexed="64"/>
      </bottom>
      <diagonal/>
    </border>
    <border>
      <left/>
      <right style="medium">
        <color indexed="64"/>
      </right>
      <top/>
      <bottom style="dotted">
        <color indexed="64"/>
      </bottom>
      <diagonal/>
    </border>
    <border>
      <left style="medium">
        <color indexed="64"/>
      </left>
      <right style="thin">
        <color indexed="64"/>
      </right>
      <top style="dotted">
        <color indexed="64"/>
      </top>
      <bottom style="dotted">
        <color indexed="64"/>
      </bottom>
      <diagonal/>
    </border>
    <border>
      <left style="thin">
        <color indexed="64"/>
      </left>
      <right style="thin">
        <color indexed="64"/>
      </right>
      <top style="dotted">
        <color indexed="64"/>
      </top>
      <bottom style="dotted">
        <color indexed="64"/>
      </bottom>
      <diagonal/>
    </border>
    <border>
      <left style="double">
        <color indexed="64"/>
      </left>
      <right/>
      <top style="double">
        <color indexed="64"/>
      </top>
      <bottom/>
      <diagonal/>
    </border>
    <border>
      <left/>
      <right/>
      <top style="double">
        <color indexed="64"/>
      </top>
      <bottom/>
      <diagonal/>
    </border>
    <border>
      <left style="double">
        <color indexed="64"/>
      </left>
      <right/>
      <top/>
      <bottom style="double">
        <color indexed="64"/>
      </bottom>
      <diagonal/>
    </border>
    <border>
      <left style="dotted">
        <color indexed="64"/>
      </left>
      <right/>
      <top style="double">
        <color indexed="64"/>
      </top>
      <bottom style="hair">
        <color indexed="64"/>
      </bottom>
      <diagonal/>
    </border>
    <border>
      <left/>
      <right/>
      <top style="double">
        <color indexed="64"/>
      </top>
      <bottom style="hair">
        <color indexed="64"/>
      </bottom>
      <diagonal/>
    </border>
    <border>
      <left style="dotted">
        <color indexed="64"/>
      </left>
      <right/>
      <top/>
      <bottom style="double">
        <color indexed="64"/>
      </bottom>
      <diagonal/>
    </border>
    <border>
      <left/>
      <right/>
      <top style="hair">
        <color indexed="64"/>
      </top>
      <bottom style="double">
        <color indexed="64"/>
      </bottom>
      <diagonal/>
    </border>
    <border>
      <left/>
      <right style="double">
        <color indexed="64"/>
      </right>
      <top style="hair">
        <color indexed="64"/>
      </top>
      <bottom style="double">
        <color indexed="64"/>
      </bottom>
      <diagonal/>
    </border>
    <border>
      <left style="medium">
        <color indexed="64"/>
      </left>
      <right style="thin">
        <color indexed="64"/>
      </right>
      <top style="dotted">
        <color indexed="64"/>
      </top>
      <bottom style="medium">
        <color indexed="64"/>
      </bottom>
      <diagonal/>
    </border>
    <border>
      <left style="thin">
        <color indexed="64"/>
      </left>
      <right style="thin">
        <color indexed="64"/>
      </right>
      <top style="dotted">
        <color indexed="64"/>
      </top>
      <bottom style="medium">
        <color indexed="64"/>
      </bottom>
      <diagonal/>
    </border>
    <border>
      <left style="thin">
        <color indexed="64"/>
      </left>
      <right/>
      <top style="dotted">
        <color indexed="64"/>
      </top>
      <bottom style="medium">
        <color indexed="64"/>
      </bottom>
      <diagonal/>
    </border>
    <border>
      <left/>
      <right style="medium">
        <color indexed="64"/>
      </right>
      <top style="dotted">
        <color indexed="64"/>
      </top>
      <bottom style="medium">
        <color indexed="64"/>
      </bottom>
      <diagonal/>
    </border>
    <border>
      <left/>
      <right style="dotted">
        <color indexed="64"/>
      </right>
      <top style="dotted">
        <color indexed="64"/>
      </top>
      <bottom style="medium">
        <color indexed="64"/>
      </bottom>
      <diagonal/>
    </border>
    <border>
      <left style="dotted">
        <color indexed="64"/>
      </left>
      <right/>
      <top style="dotted">
        <color indexed="64"/>
      </top>
      <bottom style="medium">
        <color indexed="64"/>
      </bottom>
      <diagonal/>
    </border>
    <border>
      <left style="dotted">
        <color indexed="64"/>
      </left>
      <right/>
      <top style="medium">
        <color indexed="64"/>
      </top>
      <bottom/>
      <diagonal/>
    </border>
    <border>
      <left/>
      <right style="medium">
        <color indexed="64"/>
      </right>
      <top style="dotted">
        <color indexed="64"/>
      </top>
      <bottom/>
      <diagonal/>
    </border>
    <border>
      <left/>
      <right/>
      <top/>
      <bottom style="dotted">
        <color indexed="64"/>
      </bottom>
      <diagonal/>
    </border>
    <border>
      <left/>
      <right/>
      <top/>
      <bottom style="hair">
        <color indexed="64"/>
      </bottom>
      <diagonal/>
    </border>
    <border>
      <left/>
      <right style="dotted">
        <color indexed="64"/>
      </right>
      <top/>
      <bottom style="hair">
        <color indexed="64"/>
      </bottom>
      <diagonal/>
    </border>
    <border>
      <left style="dotted">
        <color indexed="64"/>
      </left>
      <right/>
      <top/>
      <bottom style="hair">
        <color indexed="64"/>
      </bottom>
      <diagonal/>
    </border>
    <border>
      <left/>
      <right style="medium">
        <color indexed="64"/>
      </right>
      <top/>
      <bottom style="hair">
        <color indexed="64"/>
      </bottom>
      <diagonal/>
    </border>
    <border>
      <left style="dotted">
        <color indexed="64"/>
      </left>
      <right/>
      <top style="double">
        <color indexed="64"/>
      </top>
      <bottom style="dotted">
        <color indexed="64"/>
      </bottom>
      <diagonal/>
    </border>
    <border>
      <left/>
      <right/>
      <top style="double">
        <color indexed="64"/>
      </top>
      <bottom style="dotted">
        <color indexed="64"/>
      </bottom>
      <diagonal/>
    </border>
    <border>
      <left/>
      <right style="double">
        <color indexed="64"/>
      </right>
      <top style="double">
        <color indexed="64"/>
      </top>
      <bottom style="dotted">
        <color indexed="64"/>
      </bottom>
      <diagonal/>
    </border>
    <border>
      <left/>
      <right/>
      <top style="dotted">
        <color indexed="64"/>
      </top>
      <bottom style="double">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dotted">
        <color indexed="64"/>
      </left>
      <right/>
      <top style="double">
        <color indexed="64"/>
      </top>
      <bottom/>
      <diagonal/>
    </border>
    <border>
      <left/>
      <right/>
      <top style="hair">
        <color indexed="64"/>
      </top>
      <bottom style="thin">
        <color indexed="64"/>
      </bottom>
      <diagonal/>
    </border>
    <border>
      <left style="thin">
        <color indexed="64"/>
      </left>
      <right/>
      <top style="medium">
        <color indexed="64"/>
      </top>
      <bottom/>
      <diagonal/>
    </border>
    <border>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medium">
        <color indexed="64"/>
      </top>
      <bottom style="hair">
        <color indexed="64"/>
      </bottom>
      <diagonal/>
    </border>
    <border>
      <left/>
      <right style="thin">
        <color indexed="64"/>
      </right>
      <top style="medium">
        <color indexed="64"/>
      </top>
      <bottom style="hair">
        <color indexed="64"/>
      </bottom>
      <diagonal/>
    </border>
    <border>
      <left/>
      <right style="medium">
        <color indexed="64"/>
      </right>
      <top style="hair">
        <color indexed="64"/>
      </top>
      <bottom style="thin">
        <color indexed="64"/>
      </bottom>
      <diagonal/>
    </border>
    <border>
      <left/>
      <right style="thin">
        <color indexed="64"/>
      </right>
      <top style="hair">
        <color indexed="64"/>
      </top>
      <bottom style="hair">
        <color indexed="64"/>
      </bottom>
      <diagonal/>
    </border>
    <border>
      <left style="medium">
        <color indexed="64"/>
      </left>
      <right/>
      <top style="thin">
        <color indexed="64"/>
      </top>
      <bottom style="dotted">
        <color indexed="64"/>
      </bottom>
      <diagonal/>
    </border>
    <border>
      <left style="medium">
        <color indexed="64"/>
      </left>
      <right/>
      <top style="dotted">
        <color indexed="64"/>
      </top>
      <bottom style="dotted">
        <color indexed="64"/>
      </bottom>
      <diagonal/>
    </border>
    <border>
      <left style="medium">
        <color indexed="64"/>
      </left>
      <right/>
      <top style="dotted">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bottom style="double">
        <color rgb="FFFF8001"/>
      </bottom>
      <diagonal/>
    </border>
    <border>
      <left style="thin">
        <color rgb="FF7F7F7F"/>
      </left>
      <right style="thin">
        <color rgb="FF7F7F7F"/>
      </right>
      <top style="thin">
        <color rgb="FF7F7F7F"/>
      </top>
      <bottom style="thin">
        <color rgb="FF7F7F7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style="thin">
        <color theme="4"/>
      </top>
      <bottom style="double">
        <color theme="4"/>
      </bottom>
      <diagonal/>
    </border>
    <border>
      <left style="thin">
        <color rgb="FF3F3F3F"/>
      </left>
      <right style="thin">
        <color rgb="FF3F3F3F"/>
      </right>
      <top style="thin">
        <color rgb="FF3F3F3F"/>
      </top>
      <bottom style="thin">
        <color rgb="FF3F3F3F"/>
      </bottom>
      <diagonal/>
    </border>
    <border>
      <left style="medium">
        <color indexed="64"/>
      </left>
      <right/>
      <top style="thin">
        <color indexed="64"/>
      </top>
      <bottom style="hair">
        <color indexed="64"/>
      </bottom>
      <diagonal/>
    </border>
    <border>
      <left style="medium">
        <color indexed="64"/>
      </left>
      <right/>
      <top style="hair">
        <color indexed="64"/>
      </top>
      <bottom style="hair">
        <color indexed="64"/>
      </bottom>
      <diagonal/>
    </border>
    <border>
      <left style="hair">
        <color indexed="64"/>
      </left>
      <right/>
      <top style="hair">
        <color indexed="64"/>
      </top>
      <bottom style="hair">
        <color indexed="64"/>
      </bottom>
      <diagonal/>
    </border>
    <border>
      <left style="thin">
        <color indexed="64"/>
      </left>
      <right style="thin">
        <color indexed="64"/>
      </right>
      <top style="hair">
        <color indexed="64"/>
      </top>
      <bottom style="medium">
        <color indexed="64"/>
      </bottom>
      <diagonal/>
    </border>
    <border>
      <left/>
      <right style="thin">
        <color indexed="64"/>
      </right>
      <top style="thin">
        <color indexed="64"/>
      </top>
      <bottom style="hair">
        <color indexed="64"/>
      </bottom>
      <diagonal/>
    </border>
    <border>
      <left style="thin">
        <color indexed="64"/>
      </left>
      <right/>
      <top style="medium">
        <color indexed="64"/>
      </top>
      <bottom style="hair">
        <color indexed="64"/>
      </bottom>
      <diagonal/>
    </border>
    <border>
      <left/>
      <right style="hair">
        <color indexed="64"/>
      </right>
      <top/>
      <bottom style="medium">
        <color indexed="64"/>
      </bottom>
      <diagonal/>
    </border>
    <border>
      <left/>
      <right/>
      <top style="hair">
        <color indexed="64"/>
      </top>
      <bottom style="hair">
        <color indexed="64"/>
      </bottom>
      <diagonal/>
    </border>
    <border>
      <left style="hair">
        <color indexed="64"/>
      </left>
      <right style="thin">
        <color indexed="64"/>
      </right>
      <top/>
      <bottom style="medium">
        <color indexed="64"/>
      </bottom>
      <diagonal/>
    </border>
    <border>
      <left style="thin">
        <color indexed="64"/>
      </left>
      <right/>
      <top style="hair">
        <color indexed="64"/>
      </top>
      <bottom style="thin">
        <color indexed="64"/>
      </bottom>
      <diagonal/>
    </border>
    <border>
      <left/>
      <right style="hair">
        <color indexed="64"/>
      </right>
      <top style="medium">
        <color indexed="64"/>
      </top>
      <bottom style="hair">
        <color indexed="64"/>
      </bottom>
      <diagonal/>
    </border>
    <border>
      <left/>
      <right style="hair">
        <color indexed="64"/>
      </right>
      <top style="hair">
        <color indexed="64"/>
      </top>
      <bottom style="thin">
        <color indexed="64"/>
      </bottom>
      <diagonal/>
    </border>
  </borders>
  <cellStyleXfs count="49">
    <xf numFmtId="0" fontId="0" fillId="0" borderId="0">
      <alignment vertical="center"/>
    </xf>
    <xf numFmtId="0" fontId="80" fillId="2" borderId="0" applyNumberFormat="0" applyBorder="0" applyAlignment="0" applyProtection="0">
      <alignment vertical="center"/>
    </xf>
    <xf numFmtId="0" fontId="80" fillId="3" borderId="0" applyNumberFormat="0" applyBorder="0" applyAlignment="0" applyProtection="0">
      <alignment vertical="center"/>
    </xf>
    <xf numFmtId="0" fontId="80" fillId="4" borderId="0" applyNumberFormat="0" applyBorder="0" applyAlignment="0" applyProtection="0">
      <alignment vertical="center"/>
    </xf>
    <xf numFmtId="0" fontId="80" fillId="5" borderId="0" applyNumberFormat="0" applyBorder="0" applyAlignment="0" applyProtection="0">
      <alignment vertical="center"/>
    </xf>
    <xf numFmtId="0" fontId="80" fillId="19" borderId="0" applyNumberFormat="0" applyBorder="0" applyAlignment="0" applyProtection="0">
      <alignment vertical="center"/>
    </xf>
    <xf numFmtId="0" fontId="80" fillId="20" borderId="0" applyNumberFormat="0" applyBorder="0" applyAlignment="0" applyProtection="0">
      <alignment vertical="center"/>
    </xf>
    <xf numFmtId="0" fontId="80" fillId="21" borderId="0" applyNumberFormat="0" applyBorder="0" applyAlignment="0" applyProtection="0">
      <alignment vertical="center"/>
    </xf>
    <xf numFmtId="0" fontId="80" fillId="22" borderId="0" applyNumberFormat="0" applyBorder="0" applyAlignment="0" applyProtection="0">
      <alignment vertical="center"/>
    </xf>
    <xf numFmtId="0" fontId="80" fillId="6" borderId="0" applyNumberFormat="0" applyBorder="0" applyAlignment="0" applyProtection="0">
      <alignment vertical="center"/>
    </xf>
    <xf numFmtId="0" fontId="80" fillId="23" borderId="0" applyNumberFormat="0" applyBorder="0" applyAlignment="0" applyProtection="0">
      <alignment vertical="center"/>
    </xf>
    <xf numFmtId="0" fontId="80" fillId="24" borderId="0" applyNumberFormat="0" applyBorder="0" applyAlignment="0" applyProtection="0">
      <alignment vertical="center"/>
    </xf>
    <xf numFmtId="0" fontId="80" fillId="25" borderId="0" applyNumberFormat="0" applyBorder="0" applyAlignment="0" applyProtection="0">
      <alignment vertical="center"/>
    </xf>
    <xf numFmtId="0" fontId="81" fillId="26" borderId="0" applyNumberFormat="0" applyBorder="0" applyAlignment="0" applyProtection="0">
      <alignment vertical="center"/>
    </xf>
    <xf numFmtId="0" fontId="81" fillId="27" borderId="0" applyNumberFormat="0" applyBorder="0" applyAlignment="0" applyProtection="0">
      <alignment vertical="center"/>
    </xf>
    <xf numFmtId="0" fontId="81" fillId="6" borderId="0" applyNumberFormat="0" applyBorder="0" applyAlignment="0" applyProtection="0">
      <alignment vertical="center"/>
    </xf>
    <xf numFmtId="0" fontId="81" fillId="7" borderId="0" applyNumberFormat="0" applyBorder="0" applyAlignment="0" applyProtection="0">
      <alignment vertical="center"/>
    </xf>
    <xf numFmtId="0" fontId="81" fillId="28" borderId="0" applyNumberFormat="0" applyBorder="0" applyAlignment="0" applyProtection="0">
      <alignment vertical="center"/>
    </xf>
    <xf numFmtId="0" fontId="81" fillId="8" borderId="0" applyNumberFormat="0" applyBorder="0" applyAlignment="0" applyProtection="0">
      <alignment vertical="center"/>
    </xf>
    <xf numFmtId="0" fontId="81" fillId="29" borderId="0" applyNumberFormat="0" applyBorder="0" applyAlignment="0" applyProtection="0">
      <alignment vertical="center"/>
    </xf>
    <xf numFmtId="0" fontId="81" fillId="30" borderId="0" applyNumberFormat="0" applyBorder="0" applyAlignment="0" applyProtection="0">
      <alignment vertical="center"/>
    </xf>
    <xf numFmtId="0" fontId="81" fillId="31" borderId="0" applyNumberFormat="0" applyBorder="0" applyAlignment="0" applyProtection="0">
      <alignment vertical="center"/>
    </xf>
    <xf numFmtId="0" fontId="81" fillId="32" borderId="0" applyNumberFormat="0" applyBorder="0" applyAlignment="0" applyProtection="0">
      <alignment vertical="center"/>
    </xf>
    <xf numFmtId="0" fontId="81" fillId="33" borderId="0" applyNumberFormat="0" applyBorder="0" applyAlignment="0" applyProtection="0">
      <alignment vertical="center"/>
    </xf>
    <xf numFmtId="0" fontId="81" fillId="34" borderId="0" applyNumberFormat="0" applyBorder="0" applyAlignment="0" applyProtection="0">
      <alignment vertical="center"/>
    </xf>
    <xf numFmtId="0" fontId="82" fillId="0" borderId="0" applyNumberFormat="0" applyFill="0" applyBorder="0" applyAlignment="0" applyProtection="0">
      <alignment vertical="center"/>
    </xf>
    <xf numFmtId="0" fontId="83" fillId="35" borderId="163" applyNumberFormat="0" applyAlignment="0" applyProtection="0">
      <alignment vertical="center"/>
    </xf>
    <xf numFmtId="0" fontId="84" fillId="36" borderId="0" applyNumberFormat="0" applyBorder="0" applyAlignment="0" applyProtection="0">
      <alignment vertical="center"/>
    </xf>
    <xf numFmtId="0" fontId="2" fillId="37" borderId="164" applyNumberFormat="0" applyFont="0" applyAlignment="0" applyProtection="0">
      <alignment vertical="center"/>
    </xf>
    <xf numFmtId="0" fontId="85" fillId="0" borderId="165" applyNumberFormat="0" applyFill="0" applyAlignment="0" applyProtection="0">
      <alignment vertical="center"/>
    </xf>
    <xf numFmtId="0" fontId="86" fillId="38" borderId="0" applyNumberFormat="0" applyBorder="0" applyAlignment="0" applyProtection="0">
      <alignment vertical="center"/>
    </xf>
    <xf numFmtId="0" fontId="87" fillId="39" borderId="166" applyNumberFormat="0" applyAlignment="0" applyProtection="0">
      <alignment vertical="center"/>
    </xf>
    <xf numFmtId="0" fontId="88" fillId="0" borderId="0" applyNumberFormat="0" applyFill="0" applyBorder="0" applyAlignment="0" applyProtection="0">
      <alignment vertical="center"/>
    </xf>
    <xf numFmtId="38" fontId="2" fillId="0" borderId="0" applyFont="0" applyFill="0" applyBorder="0" applyAlignment="0" applyProtection="0">
      <alignment vertical="center"/>
    </xf>
    <xf numFmtId="0" fontId="89" fillId="0" borderId="167" applyNumberFormat="0" applyFill="0" applyAlignment="0" applyProtection="0">
      <alignment vertical="center"/>
    </xf>
    <xf numFmtId="0" fontId="90" fillId="0" borderId="168" applyNumberFormat="0" applyFill="0" applyAlignment="0" applyProtection="0">
      <alignment vertical="center"/>
    </xf>
    <xf numFmtId="0" fontId="91" fillId="0" borderId="169" applyNumberFormat="0" applyFill="0" applyAlignment="0" applyProtection="0">
      <alignment vertical="center"/>
    </xf>
    <xf numFmtId="0" fontId="91" fillId="0" borderId="0" applyNumberFormat="0" applyFill="0" applyBorder="0" applyAlignment="0" applyProtection="0">
      <alignment vertical="center"/>
    </xf>
    <xf numFmtId="0" fontId="92" fillId="0" borderId="170" applyNumberFormat="0" applyFill="0" applyAlignment="0" applyProtection="0">
      <alignment vertical="center"/>
    </xf>
    <xf numFmtId="0" fontId="93" fillId="39" borderId="171" applyNumberFormat="0" applyAlignment="0" applyProtection="0">
      <alignment vertical="center"/>
    </xf>
    <xf numFmtId="0" fontId="94" fillId="0" borderId="0" applyNumberFormat="0" applyFill="0" applyBorder="0" applyAlignment="0" applyProtection="0">
      <alignment vertical="center"/>
    </xf>
    <xf numFmtId="0" fontId="95" fillId="40" borderId="166" applyNumberFormat="0" applyAlignment="0" applyProtection="0">
      <alignment vertical="center"/>
    </xf>
    <xf numFmtId="0" fontId="7" fillId="0" borderId="0"/>
    <xf numFmtId="0" fontId="7" fillId="0" borderId="0"/>
    <xf numFmtId="0" fontId="7" fillId="0" borderId="0"/>
    <xf numFmtId="0" fontId="7" fillId="0" borderId="0"/>
    <xf numFmtId="0" fontId="96" fillId="0" borderId="0">
      <alignment vertical="center"/>
    </xf>
    <xf numFmtId="0" fontId="7" fillId="0" borderId="0">
      <alignment vertical="center"/>
    </xf>
    <xf numFmtId="0" fontId="97" fillId="41" borderId="0" applyNumberFormat="0" applyBorder="0" applyAlignment="0" applyProtection="0">
      <alignment vertical="center"/>
    </xf>
  </cellStyleXfs>
  <cellXfs count="659">
    <xf numFmtId="0" fontId="0" fillId="0" borderId="0" xfId="0">
      <alignment vertical="center"/>
    </xf>
    <xf numFmtId="0" fontId="0" fillId="0" borderId="0" xfId="0" applyAlignment="1">
      <alignment horizontal="center" vertical="center"/>
    </xf>
    <xf numFmtId="0" fontId="0" fillId="9" borderId="0" xfId="0" applyFill="1">
      <alignment vertical="center"/>
    </xf>
    <xf numFmtId="0" fontId="8" fillId="0" borderId="0" xfId="0" applyFont="1" applyAlignment="1">
      <alignment horizontal="right" vertical="center"/>
    </xf>
    <xf numFmtId="0" fontId="13" fillId="0" borderId="0" xfId="0" applyFont="1" applyAlignment="1">
      <alignment horizontal="center" vertical="center" shrinkToFit="1"/>
    </xf>
    <xf numFmtId="0" fontId="8" fillId="0" borderId="0" xfId="0" applyFont="1" applyAlignment="1">
      <alignment horizontal="center" vertical="center"/>
    </xf>
    <xf numFmtId="0" fontId="15" fillId="0" borderId="0" xfId="0" applyFont="1" applyAlignment="1">
      <alignment horizontal="center" vertical="center" shrinkToFit="1"/>
    </xf>
    <xf numFmtId="0" fontId="18" fillId="0" borderId="0" xfId="0" applyFont="1" applyAlignment="1">
      <alignment vertical="center" shrinkToFit="1"/>
    </xf>
    <xf numFmtId="0" fontId="16" fillId="0" borderId="0" xfId="0" applyFont="1" applyAlignment="1">
      <alignment vertical="center" shrinkToFit="1"/>
    </xf>
    <xf numFmtId="0" fontId="10" fillId="0" borderId="0" xfId="0" applyFont="1" applyAlignment="1">
      <alignment vertical="center" shrinkToFit="1"/>
    </xf>
    <xf numFmtId="0" fontId="20" fillId="0" borderId="0" xfId="0" applyFont="1" applyAlignment="1">
      <alignment vertical="center" shrinkToFit="1"/>
    </xf>
    <xf numFmtId="0" fontId="21" fillId="0" borderId="0" xfId="0" applyFont="1" applyAlignment="1">
      <alignment vertical="center" shrinkToFit="1"/>
    </xf>
    <xf numFmtId="0" fontId="24" fillId="0" borderId="0" xfId="0" applyFont="1" applyAlignment="1">
      <alignment shrinkToFit="1"/>
    </xf>
    <xf numFmtId="0" fontId="8" fillId="0" borderId="1" xfId="0" applyFont="1" applyBorder="1">
      <alignment vertical="center"/>
    </xf>
    <xf numFmtId="0" fontId="8" fillId="0" borderId="2" xfId="0" applyFont="1" applyBorder="1">
      <alignment vertical="center"/>
    </xf>
    <xf numFmtId="0" fontId="14" fillId="0" borderId="0" xfId="0" applyFont="1">
      <alignment vertical="center"/>
    </xf>
    <xf numFmtId="0" fontId="28" fillId="0" borderId="0" xfId="42" applyFont="1" applyAlignment="1">
      <alignment horizontal="center"/>
    </xf>
    <xf numFmtId="0" fontId="18" fillId="0" borderId="0" xfId="0" applyFont="1">
      <alignment vertical="center"/>
    </xf>
    <xf numFmtId="178" fontId="27" fillId="0" borderId="0" xfId="0" applyNumberFormat="1" applyFont="1" applyAlignment="1" applyProtection="1">
      <alignment vertical="center" shrinkToFit="1"/>
      <protection locked="0"/>
    </xf>
    <xf numFmtId="0" fontId="32" fillId="0" borderId="3" xfId="0" applyFont="1" applyBorder="1" applyAlignment="1">
      <alignment horizontal="center" vertical="center"/>
    </xf>
    <xf numFmtId="0" fontId="32" fillId="0" borderId="4" xfId="0" applyFont="1" applyBorder="1" applyAlignment="1">
      <alignment horizontal="center" vertical="center"/>
    </xf>
    <xf numFmtId="0" fontId="32" fillId="0" borderId="5" xfId="0" applyFont="1" applyBorder="1" applyAlignment="1">
      <alignment horizontal="center" vertical="center"/>
    </xf>
    <xf numFmtId="0" fontId="18" fillId="10" borderId="6" xfId="0" applyFont="1" applyFill="1" applyBorder="1" applyAlignment="1">
      <alignment horizontal="center" vertical="center"/>
    </xf>
    <xf numFmtId="178" fontId="15" fillId="0" borderId="0" xfId="0" applyNumberFormat="1" applyFont="1" applyAlignment="1" applyProtection="1">
      <alignment vertical="center" shrinkToFit="1"/>
      <protection locked="0"/>
    </xf>
    <xf numFmtId="179" fontId="10" fillId="0" borderId="0" xfId="0" applyNumberFormat="1" applyFont="1" applyAlignment="1" applyProtection="1">
      <alignment vertical="center" shrinkToFit="1"/>
      <protection locked="0"/>
    </xf>
    <xf numFmtId="179" fontId="14" fillId="0" borderId="0" xfId="0" applyNumberFormat="1" applyFont="1" applyProtection="1">
      <alignment vertical="center"/>
      <protection locked="0"/>
    </xf>
    <xf numFmtId="0" fontId="0" fillId="0" borderId="0" xfId="0" applyAlignment="1">
      <alignment horizontal="right" vertical="center"/>
    </xf>
    <xf numFmtId="0" fontId="0" fillId="0" borderId="0" xfId="0" applyAlignment="1">
      <alignment horizontal="left" vertical="center"/>
    </xf>
    <xf numFmtId="0" fontId="14" fillId="0" borderId="6" xfId="0" applyFont="1" applyBorder="1" applyAlignment="1">
      <alignment horizontal="center" vertical="center"/>
    </xf>
    <xf numFmtId="0" fontId="32" fillId="0" borderId="0" xfId="0" applyFont="1" applyAlignment="1">
      <alignment horizontal="center" vertical="center"/>
    </xf>
    <xf numFmtId="0" fontId="14" fillId="0" borderId="0" xfId="0" applyFont="1" applyAlignment="1">
      <alignment horizontal="center" vertical="center"/>
    </xf>
    <xf numFmtId="0" fontId="29" fillId="0" borderId="7" xfId="0" applyFont="1" applyBorder="1" applyAlignment="1">
      <alignment horizontal="center" vertical="center" shrinkToFit="1"/>
    </xf>
    <xf numFmtId="0" fontId="10" fillId="0" borderId="8" xfId="0" applyFont="1" applyBorder="1" applyProtection="1">
      <alignment vertical="center"/>
      <protection locked="0"/>
    </xf>
    <xf numFmtId="0" fontId="0" fillId="11" borderId="0" xfId="0" applyFill="1">
      <alignment vertical="center"/>
    </xf>
    <xf numFmtId="0" fontId="46" fillId="12" borderId="9" xfId="0" applyFont="1" applyFill="1" applyBorder="1" applyProtection="1">
      <alignment vertical="center"/>
      <protection locked="0"/>
    </xf>
    <xf numFmtId="0" fontId="46" fillId="12" borderId="8" xfId="0" applyFont="1" applyFill="1" applyBorder="1" applyProtection="1">
      <alignment vertical="center"/>
      <protection locked="0"/>
    </xf>
    <xf numFmtId="0" fontId="29" fillId="0" borderId="10" xfId="0" applyFont="1" applyBorder="1" applyAlignment="1">
      <alignment horizontal="center" vertical="center" shrinkToFit="1"/>
    </xf>
    <xf numFmtId="0" fontId="29" fillId="0" borderId="11" xfId="0" applyFont="1" applyBorder="1" applyAlignment="1">
      <alignment horizontal="center" vertical="center" shrinkToFit="1"/>
    </xf>
    <xf numFmtId="0" fontId="96" fillId="0" borderId="0" xfId="46" applyAlignment="1">
      <alignment horizontal="left" vertical="center"/>
    </xf>
    <xf numFmtId="0" fontId="96" fillId="0" borderId="0" xfId="46">
      <alignment vertical="center"/>
    </xf>
    <xf numFmtId="17" fontId="96" fillId="0" borderId="0" xfId="46" quotePrefix="1" applyNumberFormat="1" applyAlignment="1">
      <alignment horizontal="left" vertical="center"/>
    </xf>
    <xf numFmtId="0" fontId="0" fillId="13" borderId="0" xfId="0" applyFill="1">
      <alignment vertical="center"/>
    </xf>
    <xf numFmtId="0" fontId="0" fillId="13" borderId="0" xfId="0" applyFill="1" applyAlignment="1">
      <alignment horizontal="center" vertical="center"/>
    </xf>
    <xf numFmtId="0" fontId="0" fillId="13" borderId="0" xfId="0" applyFill="1" applyAlignment="1">
      <alignment horizontal="left" vertical="center"/>
    </xf>
    <xf numFmtId="0" fontId="49" fillId="0" borderId="0" xfId="0" applyFont="1">
      <alignment vertical="center"/>
    </xf>
    <xf numFmtId="0" fontId="50" fillId="0" borderId="0" xfId="0" applyFont="1">
      <alignment vertical="center"/>
    </xf>
    <xf numFmtId="0" fontId="51" fillId="0" borderId="0" xfId="0" applyFont="1">
      <alignment vertical="center"/>
    </xf>
    <xf numFmtId="0" fontId="52" fillId="0" borderId="0" xfId="0" applyFont="1">
      <alignment vertical="center"/>
    </xf>
    <xf numFmtId="0" fontId="13" fillId="0" borderId="0" xfId="0" applyFont="1" applyAlignment="1">
      <alignment horizontal="right" vertical="center"/>
    </xf>
    <xf numFmtId="0" fontId="10" fillId="0" borderId="12" xfId="0" applyFont="1" applyBorder="1" applyProtection="1">
      <alignment vertical="center"/>
      <protection locked="0"/>
    </xf>
    <xf numFmtId="0" fontId="54" fillId="0" borderId="0" xfId="0" applyFont="1">
      <alignment vertical="center"/>
    </xf>
    <xf numFmtId="0" fontId="10" fillId="0" borderId="13" xfId="0" applyFont="1" applyBorder="1" applyProtection="1">
      <alignment vertical="center"/>
      <protection locked="0"/>
    </xf>
    <xf numFmtId="0" fontId="49" fillId="14" borderId="0" xfId="0" applyFont="1" applyFill="1">
      <alignment vertical="center"/>
    </xf>
    <xf numFmtId="17" fontId="96" fillId="0" borderId="0" xfId="46" quotePrefix="1" applyNumberFormat="1">
      <alignment vertical="center"/>
    </xf>
    <xf numFmtId="0" fontId="0" fillId="0" borderId="14" xfId="0" applyBorder="1">
      <alignment vertical="center"/>
    </xf>
    <xf numFmtId="49" fontId="0" fillId="0" borderId="0" xfId="0" applyNumberFormat="1">
      <alignment vertical="center"/>
    </xf>
    <xf numFmtId="0" fontId="7" fillId="0" borderId="0" xfId="0" applyFont="1">
      <alignment vertical="center"/>
    </xf>
    <xf numFmtId="0" fontId="7" fillId="0" borderId="15" xfId="0" applyFont="1" applyBorder="1">
      <alignment vertical="center"/>
    </xf>
    <xf numFmtId="0" fontId="0" fillId="0" borderId="16" xfId="0" applyBorder="1">
      <alignment vertical="center"/>
    </xf>
    <xf numFmtId="0" fontId="64" fillId="0" borderId="0" xfId="33" applyNumberFormat="1" applyFont="1" applyFill="1" applyBorder="1" applyAlignment="1">
      <alignment horizontal="left" vertical="center"/>
    </xf>
    <xf numFmtId="0" fontId="58" fillId="0" borderId="15" xfId="0" applyFont="1" applyBorder="1" applyAlignment="1">
      <alignment horizontal="left" vertical="center"/>
    </xf>
    <xf numFmtId="0" fontId="0" fillId="0" borderId="16" xfId="0" applyBorder="1" applyAlignment="1">
      <alignment horizontal="left" vertical="center"/>
    </xf>
    <xf numFmtId="0" fontId="0" fillId="0" borderId="14" xfId="0" applyBorder="1" applyAlignment="1">
      <alignment horizontal="left" vertical="center"/>
    </xf>
    <xf numFmtId="0" fontId="0" fillId="0" borderId="0" xfId="0" applyAlignment="1">
      <alignment vertical="center" wrapText="1"/>
    </xf>
    <xf numFmtId="49" fontId="0" fillId="0" borderId="0" xfId="0" applyNumberFormat="1" applyAlignment="1">
      <alignment horizontal="left" vertical="center"/>
    </xf>
    <xf numFmtId="49" fontId="0" fillId="0" borderId="14" xfId="0" applyNumberFormat="1" applyBorder="1" applyAlignment="1">
      <alignment horizontal="left" vertical="center"/>
    </xf>
    <xf numFmtId="49" fontId="0" fillId="0" borderId="14" xfId="0" applyNumberFormat="1" applyBorder="1">
      <alignment vertical="center"/>
    </xf>
    <xf numFmtId="49" fontId="17" fillId="12" borderId="17" xfId="0" applyNumberFormat="1" applyFont="1" applyFill="1" applyBorder="1" applyAlignment="1" applyProtection="1">
      <alignment vertical="center" shrinkToFit="1"/>
      <protection locked="0"/>
    </xf>
    <xf numFmtId="0" fontId="60" fillId="12" borderId="18" xfId="0" applyFont="1" applyFill="1" applyBorder="1" applyAlignment="1" applyProtection="1">
      <alignment horizontal="right" vertical="center" shrinkToFit="1"/>
      <protection locked="0"/>
    </xf>
    <xf numFmtId="17" fontId="96" fillId="0" borderId="0" xfId="46" quotePrefix="1" applyNumberFormat="1" applyAlignment="1">
      <alignment horizontal="right" vertical="center"/>
    </xf>
    <xf numFmtId="0" fontId="61" fillId="0" borderId="0" xfId="0" applyFont="1">
      <alignment vertical="center"/>
    </xf>
    <xf numFmtId="0" fontId="0" fillId="0" borderId="19" xfId="0" applyBorder="1">
      <alignment vertical="center"/>
    </xf>
    <xf numFmtId="0" fontId="96" fillId="0" borderId="0" xfId="46" quotePrefix="1" applyAlignment="1">
      <alignment horizontal="left" vertical="center"/>
    </xf>
    <xf numFmtId="0" fontId="65" fillId="0" borderId="0" xfId="46" applyFont="1">
      <alignment vertical="center"/>
    </xf>
    <xf numFmtId="0" fontId="66" fillId="0" borderId="0" xfId="0" applyFont="1">
      <alignment vertical="center"/>
    </xf>
    <xf numFmtId="0" fontId="0" fillId="0" borderId="0" xfId="0" applyAlignment="1"/>
    <xf numFmtId="0" fontId="1" fillId="0" borderId="0" xfId="46" applyFont="1">
      <alignment vertical="center"/>
    </xf>
    <xf numFmtId="0" fontId="35" fillId="0" borderId="0" xfId="0" applyFont="1">
      <alignment vertical="center"/>
    </xf>
    <xf numFmtId="0" fontId="0" fillId="0" borderId="20" xfId="0" applyBorder="1" applyAlignment="1">
      <alignment horizontal="center" vertical="center"/>
    </xf>
    <xf numFmtId="0" fontId="0" fillId="0" borderId="21" xfId="0" applyBorder="1" applyAlignment="1">
      <alignment horizontal="center" vertical="center"/>
    </xf>
    <xf numFmtId="0" fontId="7" fillId="0" borderId="22" xfId="0" applyFont="1" applyBorder="1" applyAlignment="1">
      <alignment horizontal="center" vertical="center"/>
    </xf>
    <xf numFmtId="0" fontId="7" fillId="0" borderId="23" xfId="0" applyFont="1" applyBorder="1" applyAlignment="1">
      <alignment horizontal="center" vertical="center"/>
    </xf>
    <xf numFmtId="0" fontId="7" fillId="0" borderId="24" xfId="0" applyFont="1" applyBorder="1" applyAlignment="1">
      <alignment horizontal="center" vertical="center"/>
    </xf>
    <xf numFmtId="0" fontId="7" fillId="0" borderId="25" xfId="0" applyFont="1" applyBorder="1" applyAlignment="1">
      <alignment horizontal="center" vertical="center"/>
    </xf>
    <xf numFmtId="0" fontId="55" fillId="0" borderId="26" xfId="0" applyFont="1" applyBorder="1" applyAlignment="1">
      <alignment horizontal="center" vertical="center"/>
    </xf>
    <xf numFmtId="0" fontId="0" fillId="0" borderId="27" xfId="0" applyBorder="1" applyAlignment="1">
      <alignment horizontal="center" vertical="center"/>
    </xf>
    <xf numFmtId="0" fontId="0" fillId="0" borderId="27" xfId="0" applyBorder="1" applyAlignment="1"/>
    <xf numFmtId="0" fontId="0" fillId="0" borderId="28" xfId="0" applyBorder="1" applyAlignment="1">
      <alignment horizontal="center" vertical="center"/>
    </xf>
    <xf numFmtId="0" fontId="0" fillId="0" borderId="28" xfId="0" applyBorder="1" applyAlignment="1">
      <alignment horizontal="center" vertical="center" shrinkToFit="1"/>
    </xf>
    <xf numFmtId="0" fontId="0" fillId="0" borderId="28" xfId="0" applyBorder="1" applyAlignment="1"/>
    <xf numFmtId="49" fontId="0" fillId="0" borderId="28" xfId="0" applyNumberFormat="1" applyBorder="1" applyAlignment="1">
      <alignment wrapText="1"/>
    </xf>
    <xf numFmtId="0" fontId="0" fillId="0" borderId="29" xfId="0" applyBorder="1" applyAlignment="1">
      <alignment horizontal="center" vertical="center"/>
    </xf>
    <xf numFmtId="0" fontId="0" fillId="0" borderId="29" xfId="0" applyBorder="1" applyAlignment="1">
      <alignment horizontal="center" vertical="center" shrinkToFit="1"/>
    </xf>
    <xf numFmtId="0" fontId="0" fillId="0" borderId="29" xfId="0" applyBorder="1" applyAlignment="1"/>
    <xf numFmtId="49" fontId="0" fillId="0" borderId="29" xfId="0" applyNumberFormat="1" applyBorder="1" applyAlignment="1">
      <alignment wrapText="1"/>
    </xf>
    <xf numFmtId="0" fontId="9" fillId="0" borderId="0" xfId="0" applyFont="1">
      <alignment vertical="center"/>
    </xf>
    <xf numFmtId="0" fontId="0" fillId="0" borderId="26" xfId="0" applyBorder="1" applyAlignment="1">
      <alignment horizontal="center" vertical="center"/>
    </xf>
    <xf numFmtId="0" fontId="29" fillId="0" borderId="30" xfId="0" applyFont="1" applyBorder="1" applyAlignment="1">
      <alignment horizontal="center" vertical="center" shrinkToFit="1"/>
    </xf>
    <xf numFmtId="0" fontId="0" fillId="0" borderId="27" xfId="0" applyBorder="1" applyAlignment="1">
      <alignment horizontal="center" vertical="center" shrinkToFit="1"/>
    </xf>
    <xf numFmtId="49" fontId="0" fillId="0" borderId="27" xfId="0" applyNumberFormat="1" applyBorder="1" applyAlignment="1">
      <alignment wrapText="1"/>
    </xf>
    <xf numFmtId="0" fontId="0" fillId="42" borderId="0" xfId="0" applyFill="1">
      <alignment vertical="center"/>
    </xf>
    <xf numFmtId="0" fontId="14" fillId="0" borderId="31" xfId="0" applyFont="1" applyBorder="1">
      <alignment vertical="center"/>
    </xf>
    <xf numFmtId="0" fontId="14" fillId="0" borderId="32" xfId="0" applyFont="1" applyBorder="1">
      <alignment vertical="center"/>
    </xf>
    <xf numFmtId="0" fontId="29" fillId="0" borderId="33" xfId="0" applyFont="1" applyBorder="1" applyAlignment="1">
      <alignment horizontal="center" vertical="center" shrinkToFit="1"/>
    </xf>
    <xf numFmtId="0" fontId="29" fillId="0" borderId="18" xfId="0" applyFont="1" applyBorder="1" applyAlignment="1">
      <alignment horizontal="center" vertical="center" shrinkToFit="1"/>
    </xf>
    <xf numFmtId="0" fontId="29" fillId="0" borderId="34" xfId="0" applyFont="1" applyBorder="1" applyAlignment="1">
      <alignment horizontal="center" vertical="center" shrinkToFit="1"/>
    </xf>
    <xf numFmtId="0" fontId="7" fillId="0" borderId="35" xfId="0" applyFont="1" applyBorder="1" applyAlignment="1">
      <alignment vertical="center" shrinkToFit="1"/>
    </xf>
    <xf numFmtId="0" fontId="7" fillId="0" borderId="36" xfId="0" applyFont="1" applyBorder="1" applyAlignment="1">
      <alignment vertical="center" shrinkToFit="1"/>
    </xf>
    <xf numFmtId="0" fontId="7" fillId="0" borderId="37" xfId="0" applyFont="1" applyBorder="1" applyAlignment="1">
      <alignment vertical="center" shrinkToFit="1"/>
    </xf>
    <xf numFmtId="0" fontId="7" fillId="0" borderId="38" xfId="0" applyFont="1" applyBorder="1" applyAlignment="1">
      <alignment vertical="center" shrinkToFit="1"/>
    </xf>
    <xf numFmtId="0" fontId="34" fillId="0" borderId="0" xfId="0" applyFont="1" applyAlignment="1">
      <alignment horizontal="center" vertical="center"/>
    </xf>
    <xf numFmtId="0" fontId="68" fillId="0" borderId="0" xfId="0" applyFont="1" applyAlignment="1">
      <alignment horizontal="center" vertical="center" shrinkToFit="1"/>
    </xf>
    <xf numFmtId="0" fontId="34" fillId="0" borderId="39" xfId="0" applyFont="1" applyBorder="1" applyAlignment="1">
      <alignment horizontal="center" vertical="center"/>
    </xf>
    <xf numFmtId="0" fontId="34" fillId="0" borderId="40" xfId="0" applyFont="1" applyBorder="1" applyAlignment="1">
      <alignment horizontal="center" vertical="center"/>
    </xf>
    <xf numFmtId="0" fontId="34" fillId="0" borderId="41" xfId="0" applyFont="1" applyBorder="1" applyAlignment="1">
      <alignment horizontal="center" vertical="center"/>
    </xf>
    <xf numFmtId="0" fontId="0" fillId="0" borderId="42" xfId="0" applyBorder="1" applyAlignment="1">
      <alignment horizontal="center" vertical="center"/>
    </xf>
    <xf numFmtId="0" fontId="0" fillId="0" borderId="43" xfId="0" applyBorder="1" applyAlignment="1">
      <alignment horizontal="center" vertical="center" shrinkToFit="1"/>
    </xf>
    <xf numFmtId="0" fontId="0" fillId="0" borderId="44" xfId="0" applyBorder="1" applyAlignment="1">
      <alignment horizontal="center" vertical="center"/>
    </xf>
    <xf numFmtId="49" fontId="0" fillId="0" borderId="45" xfId="0" applyNumberFormat="1" applyBorder="1" applyAlignment="1">
      <alignment horizontal="center" vertical="center" shrinkToFit="1"/>
    </xf>
    <xf numFmtId="49" fontId="0" fillId="0" borderId="42" xfId="0" applyNumberFormat="1" applyBorder="1" applyAlignment="1">
      <alignment horizontal="center" vertical="center" shrinkToFit="1"/>
    </xf>
    <xf numFmtId="49" fontId="0" fillId="0" borderId="28" xfId="0" applyNumberFormat="1" applyBorder="1" applyAlignment="1">
      <alignment horizontal="center" vertical="center" shrinkToFit="1"/>
    </xf>
    <xf numFmtId="0" fontId="0" fillId="0" borderId="46" xfId="0" applyBorder="1" applyAlignment="1">
      <alignment horizontal="center" vertical="center" shrinkToFit="1"/>
    </xf>
    <xf numFmtId="49" fontId="0" fillId="0" borderId="44" xfId="0" applyNumberFormat="1" applyBorder="1" applyAlignment="1">
      <alignment horizontal="center" vertical="center" shrinkToFit="1"/>
    </xf>
    <xf numFmtId="49" fontId="0" fillId="0" borderId="47" xfId="0" applyNumberFormat="1" applyBorder="1" applyAlignment="1">
      <alignment horizontal="center" vertical="center" shrinkToFit="1"/>
    </xf>
    <xf numFmtId="49" fontId="0" fillId="0" borderId="29" xfId="0" applyNumberFormat="1" applyBorder="1" applyAlignment="1">
      <alignment horizontal="center" vertical="center" shrinkToFit="1"/>
    </xf>
    <xf numFmtId="0" fontId="0" fillId="0" borderId="34" xfId="0" applyBorder="1" applyAlignment="1">
      <alignment horizontal="center" vertical="center" shrinkToFit="1"/>
    </xf>
    <xf numFmtId="0" fontId="7" fillId="0" borderId="48" xfId="0" applyFont="1" applyBorder="1" applyAlignment="1">
      <alignment horizontal="center" vertical="center"/>
    </xf>
    <xf numFmtId="0" fontId="98" fillId="43" borderId="48" xfId="0" applyFont="1" applyFill="1" applyBorder="1">
      <alignment vertical="center"/>
    </xf>
    <xf numFmtId="0" fontId="98" fillId="43" borderId="49" xfId="0" applyFont="1" applyFill="1" applyBorder="1">
      <alignment vertical="center"/>
    </xf>
    <xf numFmtId="0" fontId="99" fillId="0" borderId="50" xfId="0" applyFont="1" applyBorder="1" applyAlignment="1">
      <alignment horizontal="center" vertical="center"/>
    </xf>
    <xf numFmtId="0" fontId="34" fillId="0" borderId="51" xfId="0" applyFont="1" applyBorder="1" applyAlignment="1">
      <alignment horizontal="center" vertical="center"/>
    </xf>
    <xf numFmtId="0" fontId="34" fillId="0" borderId="50" xfId="0" applyFont="1" applyBorder="1" applyAlignment="1">
      <alignment horizontal="center" vertical="center"/>
    </xf>
    <xf numFmtId="0" fontId="48" fillId="0" borderId="52" xfId="0" applyFont="1" applyBorder="1" applyAlignment="1">
      <alignment horizontal="right" vertical="center" shrinkToFit="1"/>
    </xf>
    <xf numFmtId="0" fontId="100" fillId="0" borderId="53" xfId="0" applyFont="1" applyBorder="1" applyAlignment="1">
      <alignment horizontal="center" vertical="center"/>
    </xf>
    <xf numFmtId="0" fontId="74" fillId="0" borderId="54" xfId="0" applyFont="1" applyBorder="1" applyAlignment="1">
      <alignment horizontal="center" vertical="center" shrinkToFit="1"/>
    </xf>
    <xf numFmtId="180" fontId="73" fillId="0" borderId="55" xfId="0" applyNumberFormat="1" applyFont="1" applyBorder="1" applyAlignment="1">
      <alignment vertical="center" shrinkToFit="1"/>
    </xf>
    <xf numFmtId="0" fontId="101" fillId="0" borderId="0" xfId="0" applyFont="1" applyAlignment="1">
      <alignment horizontal="center" vertical="center"/>
    </xf>
    <xf numFmtId="56" fontId="101" fillId="0" borderId="0" xfId="0" applyNumberFormat="1" applyFont="1" applyAlignment="1">
      <alignment horizontal="center" vertical="center"/>
    </xf>
    <xf numFmtId="0" fontId="15" fillId="0" borderId="14" xfId="0" applyFont="1" applyBorder="1" applyAlignment="1">
      <alignment horizontal="center" vertical="center"/>
    </xf>
    <xf numFmtId="0" fontId="15" fillId="0" borderId="15" xfId="0" applyFont="1" applyBorder="1" applyAlignment="1">
      <alignment horizontal="center" vertical="center"/>
    </xf>
    <xf numFmtId="0" fontId="77" fillId="0" borderId="15" xfId="0" applyFont="1" applyBorder="1" applyAlignment="1">
      <alignment horizontal="center" vertical="center"/>
    </xf>
    <xf numFmtId="180" fontId="77" fillId="0" borderId="16" xfId="0" applyNumberFormat="1" applyFont="1" applyBorder="1" applyAlignment="1">
      <alignment horizontal="center" vertical="top" shrinkToFit="1"/>
    </xf>
    <xf numFmtId="49" fontId="102" fillId="0" borderId="56" xfId="0" applyNumberFormat="1" applyFont="1" applyBorder="1" applyAlignment="1">
      <alignment horizontal="center" vertical="center" shrinkToFit="1"/>
    </xf>
    <xf numFmtId="49" fontId="103" fillId="0" borderId="57" xfId="0" applyNumberFormat="1" applyFont="1" applyBorder="1" applyAlignment="1">
      <alignment horizontal="center" vertical="center" shrinkToFit="1"/>
    </xf>
    <xf numFmtId="49" fontId="103" fillId="0" borderId="58" xfId="0" applyNumberFormat="1" applyFont="1" applyBorder="1" applyAlignment="1">
      <alignment horizontal="center" vertical="center" shrinkToFit="1"/>
    </xf>
    <xf numFmtId="0" fontId="103" fillId="0" borderId="57" xfId="0" applyFont="1" applyBorder="1" applyAlignment="1">
      <alignment horizontal="center" vertical="center" shrinkToFit="1"/>
    </xf>
    <xf numFmtId="0" fontId="103" fillId="0" borderId="59" xfId="0" applyFont="1" applyBorder="1" applyAlignment="1">
      <alignment horizontal="center" vertical="center" shrinkToFit="1"/>
    </xf>
    <xf numFmtId="0" fontId="0" fillId="0" borderId="45" xfId="0" applyBorder="1" applyAlignment="1">
      <alignment horizontal="center" vertical="center" shrinkToFit="1"/>
    </xf>
    <xf numFmtId="0" fontId="0" fillId="0" borderId="42" xfId="0" applyBorder="1" applyAlignment="1">
      <alignment horizontal="center" vertical="center" shrinkToFit="1"/>
    </xf>
    <xf numFmtId="0" fontId="0" fillId="0" borderId="44" xfId="0" applyBorder="1" applyAlignment="1">
      <alignment horizontal="center" vertical="center" shrinkToFit="1"/>
    </xf>
    <xf numFmtId="0" fontId="0" fillId="0" borderId="47" xfId="0" applyBorder="1" applyAlignment="1">
      <alignment horizontal="center" vertical="center" shrinkToFit="1"/>
    </xf>
    <xf numFmtId="0" fontId="48" fillId="0" borderId="60" xfId="0" applyFont="1" applyBorder="1" applyAlignment="1">
      <alignment horizontal="center" vertical="center"/>
    </xf>
    <xf numFmtId="0" fontId="7" fillId="0" borderId="18" xfId="0" applyFont="1" applyBorder="1" applyAlignment="1">
      <alignment horizontal="center" vertical="center" wrapText="1" shrinkToFit="1"/>
    </xf>
    <xf numFmtId="0" fontId="7" fillId="0" borderId="18" xfId="0" applyFont="1" applyBorder="1" applyAlignment="1">
      <alignment horizontal="center" vertical="center" shrinkToFit="1"/>
    </xf>
    <xf numFmtId="0" fontId="0" fillId="0" borderId="61" xfId="0" applyBorder="1" applyAlignment="1">
      <alignment horizontal="center" vertical="center"/>
    </xf>
    <xf numFmtId="0" fontId="0" fillId="0" borderId="62" xfId="0" applyBorder="1" applyAlignment="1">
      <alignment horizontal="center" vertical="center"/>
    </xf>
    <xf numFmtId="0" fontId="0" fillId="0" borderId="63" xfId="0" applyBorder="1" applyAlignment="1">
      <alignment horizontal="center" vertical="center"/>
    </xf>
    <xf numFmtId="0" fontId="0" fillId="0" borderId="172" xfId="0" applyBorder="1" applyAlignment="1">
      <alignment horizontal="center" vertical="center"/>
    </xf>
    <xf numFmtId="0" fontId="0" fillId="0" borderId="173" xfId="0" applyBorder="1" applyAlignment="1">
      <alignment horizontal="center" vertical="center"/>
    </xf>
    <xf numFmtId="0" fontId="7" fillId="0" borderId="52" xfId="0" applyFont="1" applyBorder="1" applyAlignment="1">
      <alignment horizontal="center" vertical="center" wrapText="1"/>
    </xf>
    <xf numFmtId="0" fontId="7" fillId="0" borderId="69" xfId="0" applyFont="1" applyBorder="1" applyAlignment="1">
      <alignment horizontal="left" vertical="center" wrapText="1"/>
    </xf>
    <xf numFmtId="0" fontId="7" fillId="0" borderId="55" xfId="0" applyFont="1" applyBorder="1" applyAlignment="1">
      <alignment horizontal="left" vertical="center" wrapText="1"/>
    </xf>
    <xf numFmtId="56" fontId="34" fillId="44" borderId="18" xfId="0" applyNumberFormat="1" applyFont="1" applyFill="1" applyBorder="1" applyAlignment="1">
      <alignment horizontal="center" vertical="center" shrinkToFit="1"/>
    </xf>
    <xf numFmtId="56" fontId="34" fillId="44" borderId="66" xfId="0" applyNumberFormat="1" applyFont="1" applyFill="1" applyBorder="1" applyAlignment="1">
      <alignment horizontal="center" vertical="center" shrinkToFit="1"/>
    </xf>
    <xf numFmtId="0" fontId="0" fillId="0" borderId="151" xfId="0" applyBorder="1" applyAlignment="1">
      <alignment horizontal="center" vertical="center"/>
    </xf>
    <xf numFmtId="0" fontId="0" fillId="0" borderId="32" xfId="0" applyBorder="1" applyAlignment="1">
      <alignment horizontal="center" vertical="center"/>
    </xf>
    <xf numFmtId="0" fontId="0" fillId="0" borderId="48" xfId="0" applyBorder="1" applyAlignment="1">
      <alignment horizontal="center" vertical="center"/>
    </xf>
    <xf numFmtId="0" fontId="0" fillId="0" borderId="64" xfId="0" applyBorder="1" applyAlignment="1">
      <alignment horizontal="center" vertical="center"/>
    </xf>
    <xf numFmtId="56" fontId="34" fillId="44" borderId="180" xfId="0" applyNumberFormat="1" applyFont="1" applyFill="1" applyBorder="1" applyAlignment="1">
      <alignment horizontal="center" vertical="center" shrinkToFit="1"/>
    </xf>
    <xf numFmtId="56" fontId="34" fillId="44" borderId="94" xfId="0" applyNumberFormat="1" applyFont="1" applyFill="1" applyBorder="1" applyAlignment="1">
      <alignment horizontal="center" vertical="center" wrapText="1" shrinkToFit="1"/>
    </xf>
    <xf numFmtId="0" fontId="30" fillId="44" borderId="156" xfId="0" applyFont="1" applyFill="1" applyBorder="1" applyAlignment="1">
      <alignment horizontal="center" vertical="center" shrinkToFit="1"/>
    </xf>
    <xf numFmtId="49" fontId="0" fillId="0" borderId="67" xfId="0" applyNumberFormat="1" applyBorder="1" applyAlignment="1">
      <alignment horizontal="center" vertical="center" wrapText="1" shrinkToFit="1"/>
    </xf>
    <xf numFmtId="49" fontId="0" fillId="0" borderId="67" xfId="0" applyNumberFormat="1" applyBorder="1" applyAlignment="1">
      <alignment horizontal="center" vertical="center" shrinkToFit="1"/>
    </xf>
    <xf numFmtId="49" fontId="99" fillId="0" borderId="67" xfId="0" applyNumberFormat="1" applyFont="1" applyBorder="1" applyAlignment="1">
      <alignment horizontal="center" vertical="center" wrapText="1" shrinkToFit="1"/>
    </xf>
    <xf numFmtId="0" fontId="99" fillId="0" borderId="176" xfId="0" applyFont="1" applyBorder="1" applyAlignment="1">
      <alignment horizontal="center" vertical="center" shrinkToFit="1"/>
    </xf>
    <xf numFmtId="49" fontId="0" fillId="0" borderId="68" xfId="0" applyNumberFormat="1" applyBorder="1" applyAlignment="1">
      <alignment horizontal="center" vertical="center" wrapText="1" shrinkToFit="1"/>
    </xf>
    <xf numFmtId="49" fontId="0" fillId="0" borderId="68" xfId="0" applyNumberFormat="1" applyBorder="1" applyAlignment="1">
      <alignment horizontal="center" vertical="center" shrinkToFit="1"/>
    </xf>
    <xf numFmtId="49" fontId="99" fillId="0" borderId="68" xfId="0" applyNumberFormat="1" applyFont="1" applyBorder="1" applyAlignment="1">
      <alignment horizontal="center" vertical="center" wrapText="1" shrinkToFit="1"/>
    </xf>
    <xf numFmtId="0" fontId="99" fillId="0" borderId="157" xfId="0" applyFont="1" applyBorder="1" applyAlignment="1">
      <alignment horizontal="center" vertical="center" shrinkToFit="1"/>
    </xf>
    <xf numFmtId="0" fontId="99" fillId="0" borderId="68" xfId="0" applyFont="1" applyBorder="1" applyAlignment="1">
      <alignment horizontal="center" vertical="center" shrinkToFit="1"/>
    </xf>
    <xf numFmtId="49" fontId="0" fillId="0" borderId="174" xfId="0" applyNumberFormat="1" applyBorder="1" applyAlignment="1">
      <alignment horizontal="center" vertical="center" wrapText="1" shrinkToFit="1"/>
    </xf>
    <xf numFmtId="49" fontId="0" fillId="0" borderId="175" xfId="0" applyNumberFormat="1" applyBorder="1" applyAlignment="1">
      <alignment horizontal="center" vertical="center" wrapText="1" shrinkToFit="1"/>
    </xf>
    <xf numFmtId="49" fontId="0" fillId="0" borderId="157" xfId="0" applyNumberFormat="1" applyBorder="1" applyAlignment="1">
      <alignment horizontal="center" vertical="center" shrinkToFit="1"/>
    </xf>
    <xf numFmtId="49" fontId="99" fillId="0" borderId="148" xfId="0" applyNumberFormat="1" applyFont="1" applyBorder="1" applyAlignment="1">
      <alignment horizontal="center" vertical="center" wrapText="1" shrinkToFit="1"/>
    </xf>
    <xf numFmtId="182" fontId="48" fillId="46" borderId="0" xfId="0" applyNumberFormat="1" applyFont="1" applyFill="1" applyAlignment="1">
      <alignment horizontal="left" vertical="center" shrinkToFit="1"/>
    </xf>
    <xf numFmtId="0" fontId="7" fillId="0" borderId="153" xfId="0" applyFont="1" applyBorder="1" applyAlignment="1">
      <alignment horizontal="center" vertical="center" wrapText="1" shrinkToFit="1"/>
    </xf>
    <xf numFmtId="0" fontId="7" fillId="0" borderId="40" xfId="0" applyFont="1" applyBorder="1" applyAlignment="1">
      <alignment horizontal="center" vertical="center" wrapText="1" shrinkToFit="1"/>
    </xf>
    <xf numFmtId="0" fontId="12" fillId="16" borderId="0" xfId="0" applyFont="1" applyFill="1" applyAlignment="1">
      <alignment horizontal="center" vertical="center" shrinkToFit="1"/>
    </xf>
    <xf numFmtId="0" fontId="8" fillId="0" borderId="0" xfId="0" applyFont="1" applyAlignment="1">
      <alignment horizontal="left" vertical="center" shrinkToFit="1"/>
    </xf>
    <xf numFmtId="0" fontId="14" fillId="0" borderId="70" xfId="0" applyFont="1" applyBorder="1" applyAlignment="1">
      <alignment horizontal="center" vertical="center" shrinkToFit="1"/>
    </xf>
    <xf numFmtId="0" fontId="14" fillId="0" borderId="71" xfId="0" applyFont="1" applyBorder="1" applyAlignment="1">
      <alignment horizontal="center" vertical="center" shrinkToFit="1"/>
    </xf>
    <xf numFmtId="0" fontId="14" fillId="0" borderId="72" xfId="0" applyFont="1" applyBorder="1" applyAlignment="1">
      <alignment horizontal="center" vertical="center" shrinkToFit="1"/>
    </xf>
    <xf numFmtId="0" fontId="14" fillId="0" borderId="73" xfId="0" applyFont="1" applyBorder="1" applyAlignment="1">
      <alignment horizontal="center" vertical="center" shrinkToFit="1"/>
    </xf>
    <xf numFmtId="0" fontId="14" fillId="0" borderId="74" xfId="0" applyFont="1" applyBorder="1" applyAlignment="1">
      <alignment horizontal="center" vertical="center" shrinkToFit="1"/>
    </xf>
    <xf numFmtId="0" fontId="16" fillId="0" borderId="63" xfId="0" applyFont="1" applyBorder="1" applyAlignment="1">
      <alignment horizontal="center" vertical="center" shrinkToFit="1"/>
    </xf>
    <xf numFmtId="0" fontId="16" fillId="0" borderId="48" xfId="0" applyFont="1" applyBorder="1" applyAlignment="1">
      <alignment horizontal="center" vertical="center" shrinkToFit="1"/>
    </xf>
    <xf numFmtId="0" fontId="16" fillId="0" borderId="75" xfId="0" applyFont="1" applyBorder="1" applyAlignment="1">
      <alignment horizontal="center" vertical="center" shrinkToFit="1"/>
    </xf>
    <xf numFmtId="0" fontId="9" fillId="0" borderId="73" xfId="0" applyFont="1" applyBorder="1" applyAlignment="1">
      <alignment horizontal="center" vertical="center" wrapText="1" shrinkToFit="1"/>
    </xf>
    <xf numFmtId="0" fontId="9" fillId="0" borderId="71" xfId="0" applyFont="1" applyBorder="1" applyAlignment="1">
      <alignment horizontal="center" vertical="center" wrapText="1" shrinkToFit="1"/>
    </xf>
    <xf numFmtId="0" fontId="9" fillId="0" borderId="31" xfId="0" applyFont="1" applyBorder="1" applyAlignment="1">
      <alignment horizontal="center" vertical="center" wrapText="1" shrinkToFit="1"/>
    </xf>
    <xf numFmtId="0" fontId="16" fillId="0" borderId="76" xfId="0" applyFont="1" applyBorder="1" applyAlignment="1">
      <alignment horizontal="center" vertical="center" shrinkToFit="1"/>
    </xf>
    <xf numFmtId="0" fontId="16" fillId="0" borderId="71" xfId="0" applyFont="1" applyBorder="1" applyAlignment="1">
      <alignment horizontal="center" vertical="center" shrinkToFit="1"/>
    </xf>
    <xf numFmtId="0" fontId="16" fillId="0" borderId="72" xfId="0" applyFont="1" applyBorder="1" applyAlignment="1">
      <alignment horizontal="center" vertical="center" shrinkToFit="1"/>
    </xf>
    <xf numFmtId="0" fontId="17" fillId="16" borderId="73" xfId="0" applyFont="1" applyFill="1" applyBorder="1" applyAlignment="1">
      <alignment horizontal="center" vertical="center" shrinkToFit="1"/>
    </xf>
    <xf numFmtId="0" fontId="17" fillId="16" borderId="71" xfId="0" applyFont="1" applyFill="1" applyBorder="1" applyAlignment="1">
      <alignment horizontal="center" vertical="center" shrinkToFit="1"/>
    </xf>
    <xf numFmtId="0" fontId="17" fillId="0" borderId="71" xfId="0" applyFont="1" applyBorder="1" applyAlignment="1">
      <alignment horizontal="center" vertical="center" shrinkToFit="1"/>
    </xf>
    <xf numFmtId="0" fontId="17" fillId="0" borderId="74" xfId="0" applyFont="1" applyBorder="1" applyAlignment="1">
      <alignment horizontal="center" vertical="center" shrinkToFit="1"/>
    </xf>
    <xf numFmtId="0" fontId="20" fillId="15" borderId="17" xfId="0" applyFont="1" applyFill="1" applyBorder="1" applyAlignment="1">
      <alignment horizontal="center" vertical="center" shrinkToFit="1"/>
    </xf>
    <xf numFmtId="0" fontId="20" fillId="15" borderId="18" xfId="0" applyFont="1" applyFill="1" applyBorder="1" applyAlignment="1">
      <alignment horizontal="center" vertical="center" shrinkToFit="1"/>
    </xf>
    <xf numFmtId="0" fontId="20" fillId="15" borderId="77" xfId="0" applyFont="1" applyFill="1" applyBorder="1" applyAlignment="1">
      <alignment horizontal="center" vertical="center" shrinkToFit="1"/>
    </xf>
    <xf numFmtId="0" fontId="21" fillId="17" borderId="17" xfId="0" applyFont="1" applyFill="1" applyBorder="1" applyAlignment="1">
      <alignment horizontal="center" vertical="center" shrinkToFit="1"/>
    </xf>
    <xf numFmtId="0" fontId="21" fillId="17" borderId="18" xfId="0" applyFont="1" applyFill="1" applyBorder="1" applyAlignment="1">
      <alignment horizontal="center" vertical="center" shrinkToFit="1"/>
    </xf>
    <xf numFmtId="0" fontId="21" fillId="17" borderId="34" xfId="0" applyFont="1" applyFill="1" applyBorder="1" applyAlignment="1">
      <alignment horizontal="center" vertical="center" shrinkToFit="1"/>
    </xf>
    <xf numFmtId="0" fontId="18" fillId="0" borderId="65" xfId="0" applyFont="1" applyBorder="1" applyAlignment="1">
      <alignment horizontal="center" vertical="center" shrinkToFit="1"/>
    </xf>
    <xf numFmtId="0" fontId="18" fillId="0" borderId="7" xfId="0" applyFont="1" applyBorder="1" applyAlignment="1">
      <alignment horizontal="center" vertical="center" shrinkToFit="1"/>
    </xf>
    <xf numFmtId="0" fontId="18" fillId="0" borderId="78" xfId="0" applyFont="1" applyBorder="1" applyAlignment="1">
      <alignment horizontal="center" vertical="center" shrinkToFit="1"/>
    </xf>
    <xf numFmtId="176" fontId="19" fillId="0" borderId="79" xfId="0" applyNumberFormat="1" applyFont="1" applyBorder="1" applyAlignment="1" applyProtection="1">
      <alignment horizontal="center" vertical="center" shrinkToFit="1"/>
      <protection locked="0"/>
    </xf>
    <xf numFmtId="176" fontId="19" fillId="0" borderId="7" xfId="0" applyNumberFormat="1" applyFont="1" applyBorder="1" applyAlignment="1" applyProtection="1">
      <alignment horizontal="center" vertical="center" shrinkToFit="1"/>
      <protection locked="0"/>
    </xf>
    <xf numFmtId="176" fontId="19" fillId="0" borderId="80" xfId="0" applyNumberFormat="1" applyFont="1" applyBorder="1" applyAlignment="1" applyProtection="1">
      <alignment horizontal="center" vertical="center" shrinkToFit="1"/>
      <protection locked="0"/>
    </xf>
    <xf numFmtId="0" fontId="16" fillId="0" borderId="47" xfId="0" applyFont="1" applyBorder="1" applyAlignment="1">
      <alignment horizontal="center" vertical="center" shrinkToFit="1"/>
    </xf>
    <xf numFmtId="0" fontId="16" fillId="0" borderId="18" xfId="0" applyFont="1" applyBorder="1" applyAlignment="1">
      <alignment horizontal="center" vertical="center" shrinkToFit="1"/>
    </xf>
    <xf numFmtId="0" fontId="16" fillId="0" borderId="81" xfId="0" applyFont="1" applyBorder="1" applyAlignment="1">
      <alignment horizontal="center" vertical="center" shrinkToFit="1"/>
    </xf>
    <xf numFmtId="0" fontId="19" fillId="0" borderId="82" xfId="0" applyFont="1" applyBorder="1" applyAlignment="1">
      <alignment horizontal="center" vertical="center" shrinkToFit="1"/>
    </xf>
    <xf numFmtId="0" fontId="19" fillId="0" borderId="18" xfId="0" applyFont="1" applyBorder="1" applyAlignment="1">
      <alignment horizontal="center" vertical="center" shrinkToFit="1"/>
    </xf>
    <xf numFmtId="0" fontId="19" fillId="0" borderId="77" xfId="0" applyFont="1" applyBorder="1" applyAlignment="1">
      <alignment horizontal="center" vertical="center" shrinkToFit="1"/>
    </xf>
    <xf numFmtId="0" fontId="9" fillId="0" borderId="83" xfId="0" applyFont="1" applyBorder="1" applyAlignment="1">
      <alignment horizontal="left" vertical="center" shrinkToFit="1"/>
    </xf>
    <xf numFmtId="0" fontId="9" fillId="0" borderId="84" xfId="0" applyFont="1" applyBorder="1" applyAlignment="1">
      <alignment horizontal="left" vertical="center" shrinkToFit="1"/>
    </xf>
    <xf numFmtId="0" fontId="9" fillId="0" borderId="85" xfId="0" applyFont="1" applyBorder="1" applyAlignment="1">
      <alignment horizontal="left" vertical="center" shrinkToFit="1"/>
    </xf>
    <xf numFmtId="0" fontId="62" fillId="12" borderId="86" xfId="0" applyFont="1" applyFill="1" applyBorder="1" applyAlignment="1">
      <alignment horizontal="left" vertical="center" wrapText="1" indent="1"/>
    </xf>
    <xf numFmtId="0" fontId="62" fillId="12" borderId="0" xfId="0" applyFont="1" applyFill="1" applyAlignment="1">
      <alignment horizontal="left" vertical="center" wrapText="1" indent="1"/>
    </xf>
    <xf numFmtId="0" fontId="62" fillId="12" borderId="87" xfId="0" applyFont="1" applyFill="1" applyBorder="1" applyAlignment="1">
      <alignment horizontal="left" vertical="center" wrapText="1" indent="1"/>
    </xf>
    <xf numFmtId="0" fontId="67" fillId="12" borderId="86" xfId="0" applyFont="1" applyFill="1" applyBorder="1" applyAlignment="1">
      <alignment horizontal="center" vertical="center" shrinkToFit="1"/>
    </xf>
    <xf numFmtId="0" fontId="67" fillId="12" borderId="0" xfId="0" applyFont="1" applyFill="1" applyAlignment="1">
      <alignment horizontal="center" vertical="center" shrinkToFit="1"/>
    </xf>
    <xf numFmtId="0" fontId="67" fillId="12" borderId="87" xfId="0" applyFont="1" applyFill="1" applyBorder="1" applyAlignment="1">
      <alignment horizontal="center" vertical="center" shrinkToFit="1"/>
    </xf>
    <xf numFmtId="0" fontId="18" fillId="0" borderId="42" xfId="0" applyFont="1" applyBorder="1" applyAlignment="1">
      <alignment horizontal="center" vertical="center" shrinkToFit="1"/>
    </xf>
    <xf numFmtId="0" fontId="18" fillId="0" borderId="84" xfId="0" applyFont="1" applyBorder="1" applyAlignment="1">
      <alignment horizontal="center" vertical="center" shrinkToFit="1"/>
    </xf>
    <xf numFmtId="0" fontId="18" fillId="0" borderId="88" xfId="0" applyFont="1" applyBorder="1" applyAlignment="1">
      <alignment horizontal="center" vertical="center" shrinkToFit="1"/>
    </xf>
    <xf numFmtId="176" fontId="19" fillId="12" borderId="79" xfId="0" applyNumberFormat="1" applyFont="1" applyFill="1" applyBorder="1" applyAlignment="1" applyProtection="1">
      <alignment horizontal="center" vertical="center" shrinkToFit="1"/>
      <protection locked="0"/>
    </xf>
    <xf numFmtId="176" fontId="19" fillId="12" borderId="7" xfId="0" applyNumberFormat="1" applyFont="1" applyFill="1" applyBorder="1" applyAlignment="1" applyProtection="1">
      <alignment horizontal="center" vertical="center" shrinkToFit="1"/>
      <protection locked="0"/>
    </xf>
    <xf numFmtId="176" fontId="19" fillId="12" borderId="80" xfId="0" applyNumberFormat="1" applyFont="1" applyFill="1" applyBorder="1" applyAlignment="1" applyProtection="1">
      <alignment horizontal="center" vertical="center" shrinkToFit="1"/>
      <protection locked="0"/>
    </xf>
    <xf numFmtId="176" fontId="19" fillId="12" borderId="89" xfId="0" applyNumberFormat="1" applyFont="1" applyFill="1" applyBorder="1" applyAlignment="1" applyProtection="1">
      <alignment horizontal="center" vertical="center" shrinkToFit="1"/>
      <protection locked="0"/>
    </xf>
    <xf numFmtId="176" fontId="19" fillId="12" borderId="84" xfId="0" applyNumberFormat="1" applyFont="1" applyFill="1" applyBorder="1" applyAlignment="1" applyProtection="1">
      <alignment horizontal="center" vertical="center" shrinkToFit="1"/>
      <protection locked="0"/>
    </xf>
    <xf numFmtId="176" fontId="19" fillId="12" borderId="43" xfId="0" applyNumberFormat="1" applyFont="1" applyFill="1" applyBorder="1" applyAlignment="1" applyProtection="1">
      <alignment horizontal="center" vertical="center" shrinkToFit="1"/>
      <protection locked="0"/>
    </xf>
    <xf numFmtId="0" fontId="10" fillId="0" borderId="1" xfId="0" applyFont="1" applyBorder="1" applyAlignment="1">
      <alignment horizontal="left" vertical="center" shrinkToFit="1"/>
    </xf>
    <xf numFmtId="0" fontId="10" fillId="0" borderId="7" xfId="0" applyFont="1" applyBorder="1" applyAlignment="1">
      <alignment horizontal="left" vertical="center" shrinkToFit="1"/>
    </xf>
    <xf numFmtId="0" fontId="10" fillId="0" borderId="90" xfId="0" applyFont="1" applyBorder="1" applyAlignment="1">
      <alignment horizontal="left" vertical="center" shrinkToFit="1"/>
    </xf>
    <xf numFmtId="0" fontId="18" fillId="0" borderId="44" xfId="0" applyFont="1" applyBorder="1" applyAlignment="1">
      <alignment horizontal="center" vertical="center" shrinkToFit="1"/>
    </xf>
    <xf numFmtId="0" fontId="18" fillId="0" borderId="91" xfId="0" applyFont="1" applyBorder="1" applyAlignment="1">
      <alignment horizontal="center" vertical="center" shrinkToFit="1"/>
    </xf>
    <xf numFmtId="0" fontId="18" fillId="0" borderId="92" xfId="0" applyFont="1" applyBorder="1" applyAlignment="1">
      <alignment horizontal="center" vertical="center" shrinkToFit="1"/>
    </xf>
    <xf numFmtId="176" fontId="19" fillId="0" borderId="93" xfId="0" applyNumberFormat="1" applyFont="1" applyBorder="1" applyAlignment="1" applyProtection="1">
      <alignment horizontal="center" vertical="center" shrinkToFit="1"/>
      <protection locked="0"/>
    </xf>
    <xf numFmtId="176" fontId="19" fillId="0" borderId="91" xfId="0" applyNumberFormat="1" applyFont="1" applyBorder="1" applyAlignment="1" applyProtection="1">
      <alignment horizontal="center" vertical="center" shrinkToFit="1"/>
      <protection locked="0"/>
    </xf>
    <xf numFmtId="176" fontId="19" fillId="0" borderId="46" xfId="0" applyNumberFormat="1" applyFont="1" applyBorder="1" applyAlignment="1" applyProtection="1">
      <alignment horizontal="center" vertical="center" shrinkToFit="1"/>
      <protection locked="0"/>
    </xf>
    <xf numFmtId="176" fontId="19" fillId="0" borderId="93" xfId="0" applyNumberFormat="1" applyFont="1" applyBorder="1" applyAlignment="1">
      <alignment horizontal="center" vertical="center" shrinkToFit="1"/>
    </xf>
    <xf numFmtId="176" fontId="19" fillId="0" borderId="91" xfId="0" applyNumberFormat="1" applyFont="1" applyBorder="1" applyAlignment="1">
      <alignment horizontal="center" vertical="center" shrinkToFit="1"/>
    </xf>
    <xf numFmtId="176" fontId="19" fillId="0" borderId="46" xfId="0" applyNumberFormat="1" applyFont="1" applyBorder="1" applyAlignment="1">
      <alignment horizontal="center" vertical="center" shrinkToFit="1"/>
    </xf>
    <xf numFmtId="0" fontId="22" fillId="15" borderId="65" xfId="0" applyFont="1" applyFill="1" applyBorder="1" applyAlignment="1">
      <alignment horizontal="center" vertical="center" shrinkToFit="1"/>
    </xf>
    <xf numFmtId="0" fontId="22" fillId="15" borderId="7" xfId="0" applyFont="1" applyFill="1" applyBorder="1" applyAlignment="1">
      <alignment horizontal="center" vertical="center" shrinkToFit="1"/>
    </xf>
    <xf numFmtId="0" fontId="22" fillId="15" borderId="90" xfId="0" applyFont="1" applyFill="1" applyBorder="1" applyAlignment="1">
      <alignment horizontal="center" vertical="center" shrinkToFit="1"/>
    </xf>
    <xf numFmtId="0" fontId="22" fillId="15" borderId="39" xfId="0" applyFont="1" applyFill="1" applyBorder="1" applyAlignment="1">
      <alignment horizontal="center" vertical="center" shrinkToFit="1"/>
    </xf>
    <xf numFmtId="0" fontId="22" fillId="15" borderId="40" xfId="0" applyFont="1" applyFill="1" applyBorder="1" applyAlignment="1">
      <alignment horizontal="center" vertical="center" shrinkToFit="1"/>
    </xf>
    <xf numFmtId="0" fontId="22" fillId="15" borderId="94" xfId="0" applyFont="1" applyFill="1" applyBorder="1" applyAlignment="1">
      <alignment horizontal="center" vertical="center" shrinkToFit="1"/>
    </xf>
    <xf numFmtId="176" fontId="19" fillId="0" borderId="1" xfId="0" applyNumberFormat="1" applyFont="1" applyBorder="1" applyAlignment="1">
      <alignment horizontal="center" vertical="center" shrinkToFit="1"/>
    </xf>
    <xf numFmtId="176" fontId="19" fillId="0" borderId="7" xfId="0" applyNumberFormat="1" applyFont="1" applyBorder="1" applyAlignment="1">
      <alignment horizontal="center" vertical="center" shrinkToFit="1"/>
    </xf>
    <xf numFmtId="176" fontId="19" fillId="0" borderId="80" xfId="0" applyNumberFormat="1" applyFont="1" applyBorder="1" applyAlignment="1">
      <alignment horizontal="center" vertical="center" shrinkToFit="1"/>
    </xf>
    <xf numFmtId="176" fontId="19" fillId="0" borderId="95" xfId="0" applyNumberFormat="1" applyFont="1" applyBorder="1" applyAlignment="1">
      <alignment horizontal="center" vertical="center" shrinkToFit="1"/>
    </xf>
    <xf numFmtId="176" fontId="19" fillId="0" borderId="40" xfId="0" applyNumberFormat="1" applyFont="1" applyBorder="1" applyAlignment="1">
      <alignment horizontal="center" vertical="center" shrinkToFit="1"/>
    </xf>
    <xf numFmtId="176" fontId="19" fillId="0" borderId="41" xfId="0" applyNumberFormat="1" applyFont="1" applyBorder="1" applyAlignment="1">
      <alignment horizontal="center" vertical="center" shrinkToFit="1"/>
    </xf>
    <xf numFmtId="0" fontId="31" fillId="16" borderId="0" xfId="0" applyFont="1" applyFill="1" applyAlignment="1">
      <alignment horizontal="left" shrinkToFit="1"/>
    </xf>
    <xf numFmtId="0" fontId="25" fillId="0" borderId="63" xfId="0" applyFont="1" applyBorder="1" applyAlignment="1">
      <alignment horizontal="center" vertical="center"/>
    </xf>
    <xf numFmtId="0" fontId="25" fillId="0" borderId="48" xfId="0" applyFont="1" applyBorder="1" applyAlignment="1">
      <alignment horizontal="center" vertical="center"/>
    </xf>
    <xf numFmtId="0" fontId="25" fillId="0" borderId="96" xfId="0" applyFont="1" applyBorder="1" applyAlignment="1">
      <alignment horizontal="center" vertical="center"/>
    </xf>
    <xf numFmtId="0" fontId="25" fillId="0" borderId="51" xfId="0" applyFont="1" applyBorder="1" applyAlignment="1">
      <alignment horizontal="center" vertical="center"/>
    </xf>
    <xf numFmtId="0" fontId="25" fillId="0" borderId="0" xfId="0" applyFont="1" applyAlignment="1">
      <alignment horizontal="center" vertical="center"/>
    </xf>
    <xf numFmtId="0" fontId="25" fillId="0" borderId="87" xfId="0" applyFont="1" applyBorder="1" applyAlignment="1">
      <alignment horizontal="center" vertical="center"/>
    </xf>
    <xf numFmtId="0" fontId="41" fillId="0" borderId="97" xfId="0" applyFont="1" applyBorder="1" applyAlignment="1">
      <alignment horizontal="left" vertical="center" shrinkToFit="1"/>
    </xf>
    <xf numFmtId="0" fontId="41" fillId="0" borderId="98" xfId="0" applyFont="1" applyBorder="1" applyAlignment="1">
      <alignment horizontal="left" vertical="center" shrinkToFit="1"/>
    </xf>
    <xf numFmtId="0" fontId="41" fillId="0" borderId="99" xfId="0" applyFont="1" applyBorder="1" applyAlignment="1">
      <alignment horizontal="left" vertical="center" shrinkToFit="1"/>
    </xf>
    <xf numFmtId="0" fontId="41" fillId="0" borderId="100" xfId="0" applyFont="1" applyBorder="1" applyAlignment="1">
      <alignment horizontal="left" vertical="center" shrinkToFit="1"/>
    </xf>
    <xf numFmtId="0" fontId="41" fillId="0" borderId="101" xfId="0" applyFont="1" applyBorder="1" applyAlignment="1">
      <alignment horizontal="left" vertical="center" shrinkToFit="1"/>
    </xf>
    <xf numFmtId="0" fontId="41" fillId="0" borderId="99" xfId="0" applyFont="1" applyBorder="1" applyAlignment="1">
      <alignment horizontal="center" vertical="center" shrinkToFit="1"/>
    </xf>
    <xf numFmtId="0" fontId="41" fillId="0" borderId="100" xfId="0" applyFont="1" applyBorder="1" applyAlignment="1">
      <alignment horizontal="center" vertical="center" shrinkToFit="1"/>
    </xf>
    <xf numFmtId="0" fontId="41" fillId="0" borderId="102" xfId="0" applyFont="1" applyBorder="1" applyAlignment="1">
      <alignment horizontal="center" vertical="center" shrinkToFit="1"/>
    </xf>
    <xf numFmtId="0" fontId="41" fillId="0" borderId="103" xfId="0" applyFont="1" applyBorder="1" applyAlignment="1">
      <alignment horizontal="left" vertical="center" shrinkToFit="1"/>
    </xf>
    <xf numFmtId="0" fontId="41" fillId="0" borderId="104" xfId="0" applyFont="1" applyBorder="1" applyAlignment="1">
      <alignment horizontal="left" vertical="center" shrinkToFit="1"/>
    </xf>
    <xf numFmtId="0" fontId="42" fillId="18" borderId="104" xfId="0" applyFont="1" applyFill="1" applyBorder="1" applyAlignment="1">
      <alignment horizontal="center" vertical="center" shrinkToFit="1"/>
    </xf>
    <xf numFmtId="0" fontId="42" fillId="18" borderId="105" xfId="0" applyFont="1" applyFill="1" applyBorder="1" applyAlignment="1">
      <alignment horizontal="center" vertical="center" shrinkToFit="1"/>
    </xf>
    <xf numFmtId="0" fontId="41" fillId="0" borderId="106" xfId="0" applyFont="1" applyBorder="1" applyAlignment="1">
      <alignment horizontal="left" vertical="center" shrinkToFit="1"/>
    </xf>
    <xf numFmtId="0" fontId="41" fillId="0" borderId="10" xfId="0" applyFont="1" applyBorder="1" applyAlignment="1">
      <alignment horizontal="left" vertical="center" shrinkToFit="1"/>
    </xf>
    <xf numFmtId="0" fontId="41" fillId="0" borderId="107" xfId="0" applyFont="1" applyBorder="1" applyAlignment="1">
      <alignment horizontal="left" vertical="center" shrinkToFit="1"/>
    </xf>
    <xf numFmtId="0" fontId="41" fillId="0" borderId="108" xfId="0" applyFont="1" applyBorder="1" applyAlignment="1">
      <alignment horizontal="left" vertical="center" shrinkToFit="1"/>
    </xf>
    <xf numFmtId="0" fontId="41" fillId="0" borderId="10" xfId="0" applyFont="1" applyBorder="1" applyAlignment="1">
      <alignment horizontal="center" vertical="center" shrinkToFit="1"/>
    </xf>
    <xf numFmtId="0" fontId="41" fillId="0" borderId="109" xfId="0" applyFont="1" applyBorder="1" applyAlignment="1">
      <alignment horizontal="center" vertical="center" shrinkToFit="1"/>
    </xf>
    <xf numFmtId="0" fontId="25" fillId="0" borderId="65" xfId="0" applyFont="1" applyBorder="1" applyAlignment="1">
      <alignment horizontal="center" vertical="center" wrapText="1"/>
    </xf>
    <xf numFmtId="0" fontId="25" fillId="0" borderId="7" xfId="0" applyFont="1" applyBorder="1" applyAlignment="1">
      <alignment horizontal="center" vertical="center" wrapText="1"/>
    </xf>
    <xf numFmtId="0" fontId="25" fillId="0" borderId="90" xfId="0" applyFont="1" applyBorder="1" applyAlignment="1">
      <alignment horizontal="center" vertical="center" wrapText="1"/>
    </xf>
    <xf numFmtId="0" fontId="25" fillId="0" borderId="42" xfId="0" applyFont="1" applyBorder="1" applyAlignment="1">
      <alignment horizontal="center" vertical="center" wrapText="1"/>
    </xf>
    <xf numFmtId="0" fontId="25" fillId="0" borderId="84" xfId="0" applyFont="1" applyBorder="1" applyAlignment="1">
      <alignment horizontal="center" vertical="center" wrapText="1"/>
    </xf>
    <xf numFmtId="0" fontId="25" fillId="0" borderId="85" xfId="0" applyFont="1" applyBorder="1" applyAlignment="1">
      <alignment horizontal="center" vertical="center" wrapText="1"/>
    </xf>
    <xf numFmtId="0" fontId="8" fillId="0" borderId="1" xfId="0" applyFont="1" applyBorder="1" applyAlignment="1">
      <alignment horizontal="center" vertical="center"/>
    </xf>
    <xf numFmtId="0" fontId="8" fillId="0" borderId="7" xfId="0" applyFont="1" applyBorder="1" applyAlignment="1">
      <alignment horizontal="center" vertical="center"/>
    </xf>
    <xf numFmtId="177" fontId="26" fillId="12" borderId="7" xfId="0" applyNumberFormat="1" applyFont="1" applyFill="1" applyBorder="1" applyAlignment="1" applyProtection="1">
      <alignment horizontal="center" vertical="center" shrinkToFit="1"/>
      <protection locked="0"/>
    </xf>
    <xf numFmtId="177" fontId="26" fillId="12" borderId="0" xfId="0" applyNumberFormat="1" applyFont="1" applyFill="1" applyAlignment="1" applyProtection="1">
      <alignment horizontal="center" vertical="center" shrinkToFit="1"/>
      <protection locked="0"/>
    </xf>
    <xf numFmtId="0" fontId="10" fillId="0" borderId="0" xfId="0" applyFont="1" applyAlignment="1">
      <alignment horizontal="left" vertical="center" shrinkToFit="1"/>
    </xf>
    <xf numFmtId="0" fontId="10" fillId="0" borderId="110" xfId="0" applyFont="1" applyBorder="1" applyAlignment="1">
      <alignment horizontal="left" vertical="center" shrinkToFit="1"/>
    </xf>
    <xf numFmtId="0" fontId="41" fillId="0" borderId="111" xfId="0" applyFont="1" applyBorder="1" applyAlignment="1">
      <alignment horizontal="left" vertical="center" shrinkToFit="1"/>
    </xf>
    <xf numFmtId="0" fontId="10" fillId="0" borderId="112" xfId="0" applyFont="1" applyBorder="1" applyAlignment="1">
      <alignment horizontal="center" vertical="center" wrapText="1"/>
    </xf>
    <xf numFmtId="0" fontId="10" fillId="0" borderId="0" xfId="0" applyFont="1" applyAlignment="1">
      <alignment horizontal="center" vertical="center" wrapText="1"/>
    </xf>
    <xf numFmtId="0" fontId="17" fillId="12" borderId="0" xfId="0" applyFont="1" applyFill="1" applyAlignment="1" applyProtection="1">
      <alignment horizontal="center" vertical="center" shrinkToFit="1"/>
      <protection locked="0"/>
    </xf>
    <xf numFmtId="0" fontId="17" fillId="12" borderId="7" xfId="0" applyFont="1" applyFill="1" applyBorder="1" applyAlignment="1" applyProtection="1">
      <alignment horizontal="center" vertical="center" shrinkToFit="1"/>
      <protection locked="0"/>
    </xf>
    <xf numFmtId="0" fontId="17" fillId="12" borderId="80" xfId="0" applyFont="1" applyFill="1" applyBorder="1" applyAlignment="1" applyProtection="1">
      <alignment horizontal="center" vertical="center" shrinkToFit="1"/>
      <protection locked="0"/>
    </xf>
    <xf numFmtId="0" fontId="9" fillId="0" borderId="83" xfId="0" applyFont="1" applyBorder="1" applyAlignment="1">
      <alignment horizontal="left" vertical="center"/>
    </xf>
    <xf numFmtId="0" fontId="9" fillId="0" borderId="84" xfId="0" applyFont="1" applyBorder="1" applyAlignment="1">
      <alignment horizontal="left" vertical="center"/>
    </xf>
    <xf numFmtId="0" fontId="9" fillId="0" borderId="43" xfId="0" applyFont="1" applyBorder="1" applyAlignment="1">
      <alignment horizontal="left" vertical="center"/>
    </xf>
    <xf numFmtId="0" fontId="25" fillId="0" borderId="47" xfId="0" applyFont="1" applyBorder="1" applyAlignment="1">
      <alignment horizontal="center" vertical="center" wrapText="1"/>
    </xf>
    <xf numFmtId="0" fontId="25" fillId="0" borderId="18" xfId="0" applyFont="1" applyBorder="1" applyAlignment="1">
      <alignment horizontal="center" vertical="center" wrapText="1"/>
    </xf>
    <xf numFmtId="0" fontId="25" fillId="0" borderId="77" xfId="0" applyFont="1" applyBorder="1" applyAlignment="1">
      <alignment horizontal="center" vertical="center" wrapText="1"/>
    </xf>
    <xf numFmtId="0" fontId="15" fillId="0" borderId="17" xfId="0" applyFont="1" applyBorder="1" applyAlignment="1" applyProtection="1">
      <alignment horizontal="right" vertical="center" shrinkToFit="1"/>
      <protection locked="0"/>
    </xf>
    <xf numFmtId="0" fontId="15" fillId="0" borderId="18" xfId="0" applyFont="1" applyBorder="1" applyAlignment="1" applyProtection="1">
      <alignment horizontal="right" vertical="center" shrinkToFit="1"/>
      <protection locked="0"/>
    </xf>
    <xf numFmtId="0" fontId="38" fillId="16" borderId="18" xfId="0" applyFont="1" applyFill="1" applyBorder="1" applyAlignment="1" applyProtection="1">
      <alignment horizontal="center" vertical="center" shrinkToFit="1"/>
      <protection locked="0"/>
    </xf>
    <xf numFmtId="0" fontId="14" fillId="0" borderId="82" xfId="0" applyFont="1" applyBorder="1" applyAlignment="1">
      <alignment horizontal="right" vertical="center"/>
    </xf>
    <xf numFmtId="0" fontId="14" fillId="0" borderId="18" xfId="0" applyFont="1" applyBorder="1" applyAlignment="1">
      <alignment horizontal="right" vertical="center"/>
    </xf>
    <xf numFmtId="0" fontId="17" fillId="16" borderId="18" xfId="0" applyFont="1" applyFill="1" applyBorder="1" applyAlignment="1">
      <alignment horizontal="center" vertical="center" shrinkToFit="1"/>
    </xf>
    <xf numFmtId="0" fontId="14" fillId="0" borderId="18" xfId="0" applyFont="1" applyBorder="1" applyAlignment="1">
      <alignment horizontal="center" vertical="center" shrinkToFit="1"/>
    </xf>
    <xf numFmtId="0" fontId="14" fillId="0" borderId="34" xfId="0" applyFont="1" applyBorder="1" applyAlignment="1">
      <alignment horizontal="center" vertical="center" shrinkToFit="1"/>
    </xf>
    <xf numFmtId="0" fontId="18" fillId="10" borderId="113" xfId="0" applyFont="1" applyFill="1" applyBorder="1" applyAlignment="1">
      <alignment horizontal="center" vertical="center"/>
    </xf>
    <xf numFmtId="0" fontId="18" fillId="10" borderId="32" xfId="0" applyFont="1" applyFill="1" applyBorder="1" applyAlignment="1">
      <alignment horizontal="center" vertical="center"/>
    </xf>
    <xf numFmtId="0" fontId="18" fillId="10" borderId="76" xfId="0" applyFont="1" applyFill="1" applyBorder="1" applyAlignment="1">
      <alignment horizontal="center" vertical="center"/>
    </xf>
    <xf numFmtId="0" fontId="18" fillId="10" borderId="74" xfId="0" applyFont="1" applyFill="1" applyBorder="1" applyAlignment="1">
      <alignment horizontal="center" vertical="center"/>
    </xf>
    <xf numFmtId="0" fontId="33" fillId="0" borderId="114" xfId="0" applyFont="1" applyBorder="1" applyAlignment="1">
      <alignment horizontal="center" vertical="center"/>
    </xf>
    <xf numFmtId="0" fontId="33" fillId="0" borderId="15" xfId="0" applyFont="1" applyBorder="1" applyAlignment="1">
      <alignment horizontal="center" vertical="center"/>
    </xf>
    <xf numFmtId="0" fontId="32" fillId="0" borderId="15" xfId="0" applyFont="1" applyBorder="1" applyAlignment="1">
      <alignment horizontal="center" vertical="center" shrinkToFit="1"/>
    </xf>
    <xf numFmtId="0" fontId="7" fillId="0" borderId="115" xfId="0" applyFont="1" applyBorder="1" applyAlignment="1">
      <alignment horizontal="center" vertical="center" shrinkToFit="1"/>
    </xf>
    <xf numFmtId="0" fontId="7" fillId="0" borderId="15" xfId="0" applyFont="1" applyBorder="1" applyAlignment="1">
      <alignment horizontal="center" vertical="center" shrinkToFit="1"/>
    </xf>
    <xf numFmtId="0" fontId="31" fillId="0" borderId="15" xfId="0" applyFont="1" applyBorder="1" applyAlignment="1">
      <alignment horizontal="center" vertical="center" shrinkToFit="1"/>
    </xf>
    <xf numFmtId="0" fontId="31" fillId="0" borderId="116" xfId="0" applyFont="1" applyBorder="1" applyAlignment="1">
      <alignment horizontal="center" vertical="center" shrinkToFit="1"/>
    </xf>
    <xf numFmtId="0" fontId="31" fillId="0" borderId="30" xfId="0" applyFont="1" applyBorder="1" applyAlignment="1">
      <alignment horizontal="center" vertical="center" shrinkToFit="1"/>
    </xf>
    <xf numFmtId="0" fontId="31" fillId="0" borderId="117" xfId="0" applyFont="1" applyBorder="1" applyAlignment="1">
      <alignment horizontal="center" vertical="center" shrinkToFit="1"/>
    </xf>
    <xf numFmtId="0" fontId="32" fillId="0" borderId="118" xfId="0" applyFont="1" applyBorder="1" applyAlignment="1">
      <alignment horizontal="center" vertical="center"/>
    </xf>
    <xf numFmtId="0" fontId="32" fillId="0" borderId="119" xfId="0" applyFont="1" applyBorder="1" applyAlignment="1">
      <alignment horizontal="center" vertical="center"/>
    </xf>
    <xf numFmtId="179" fontId="16" fillId="0" borderId="52" xfId="0" applyNumberFormat="1" applyFont="1" applyBorder="1" applyAlignment="1" applyProtection="1">
      <alignment horizontal="center" vertical="center" shrinkToFit="1"/>
      <protection locked="0"/>
    </xf>
    <xf numFmtId="179" fontId="16" fillId="0" borderId="69" xfId="0" applyNumberFormat="1" applyFont="1" applyBorder="1" applyAlignment="1" applyProtection="1">
      <alignment horizontal="center" vertical="center" shrinkToFit="1"/>
      <protection locked="0"/>
    </xf>
    <xf numFmtId="179" fontId="16" fillId="0" borderId="55" xfId="0" applyNumberFormat="1" applyFont="1" applyBorder="1" applyAlignment="1" applyProtection="1">
      <alignment horizontal="center" vertical="center" shrinkToFit="1"/>
      <protection locked="0"/>
    </xf>
    <xf numFmtId="0" fontId="31" fillId="0" borderId="106" xfId="0" applyFont="1" applyBorder="1" applyAlignment="1">
      <alignment horizontal="center" vertical="center" shrinkToFit="1"/>
    </xf>
    <xf numFmtId="0" fontId="31" fillId="0" borderId="10" xfId="0" applyFont="1" applyBorder="1" applyAlignment="1">
      <alignment horizontal="center" vertical="center" shrinkToFit="1"/>
    </xf>
    <xf numFmtId="0" fontId="31" fillId="0" borderId="108" xfId="0" applyFont="1" applyBorder="1" applyAlignment="1">
      <alignment horizontal="center" vertical="center" shrinkToFit="1"/>
    </xf>
    <xf numFmtId="0" fontId="7" fillId="0" borderId="107" xfId="0" applyFont="1" applyBorder="1" applyAlignment="1">
      <alignment horizontal="center" vertical="center" shrinkToFit="1"/>
    </xf>
    <xf numFmtId="0" fontId="7" fillId="0" borderId="37" xfId="0" applyFont="1" applyBorder="1" applyAlignment="1">
      <alignment horizontal="center" vertical="center" shrinkToFit="1"/>
    </xf>
    <xf numFmtId="0" fontId="32" fillId="0" borderId="106" xfId="0" applyFont="1" applyBorder="1" applyAlignment="1">
      <alignment horizontal="center" vertical="center"/>
    </xf>
    <xf numFmtId="0" fontId="32" fillId="0" borderId="109" xfId="0" applyFont="1" applyBorder="1" applyAlignment="1">
      <alignment horizontal="center" vertical="center"/>
    </xf>
    <xf numFmtId="0" fontId="33" fillId="0" borderId="120" xfId="0" applyFont="1" applyBorder="1" applyAlignment="1">
      <alignment horizontal="center" vertical="center"/>
    </xf>
    <xf numFmtId="0" fontId="33" fillId="0" borderId="121" xfId="0" applyFont="1" applyBorder="1" applyAlignment="1">
      <alignment horizontal="center" vertical="center"/>
    </xf>
    <xf numFmtId="0" fontId="32" fillId="0" borderId="106" xfId="0" applyFont="1" applyBorder="1" applyAlignment="1">
      <alignment horizontal="center" vertical="center" shrinkToFit="1"/>
    </xf>
    <xf numFmtId="0" fontId="32" fillId="0" borderId="10" xfId="0" applyFont="1" applyBorder="1" applyAlignment="1">
      <alignment horizontal="center" vertical="center" shrinkToFit="1"/>
    </xf>
    <xf numFmtId="0" fontId="32" fillId="0" borderId="37" xfId="0" applyFont="1" applyBorder="1" applyAlignment="1">
      <alignment horizontal="center" vertical="center" shrinkToFit="1"/>
    </xf>
    <xf numFmtId="0" fontId="31" fillId="0" borderId="37" xfId="0" applyFont="1" applyBorder="1" applyAlignment="1">
      <alignment horizontal="center" vertical="center" shrinkToFit="1"/>
    </xf>
    <xf numFmtId="0" fontId="18" fillId="0" borderId="122" xfId="0" applyFont="1" applyBorder="1" applyAlignment="1">
      <alignment horizontal="center" vertical="center" wrapText="1"/>
    </xf>
    <xf numFmtId="0" fontId="18" fillId="0" borderId="123" xfId="0" applyFont="1" applyBorder="1" applyAlignment="1">
      <alignment horizontal="center" vertical="center" wrapText="1"/>
    </xf>
    <xf numFmtId="0" fontId="18" fillId="0" borderId="124" xfId="0" applyFont="1" applyBorder="1" applyAlignment="1">
      <alignment horizontal="center" vertical="center" wrapText="1"/>
    </xf>
    <xf numFmtId="0" fontId="18" fillId="0" borderId="9" xfId="0" applyFont="1" applyBorder="1" applyAlignment="1">
      <alignment horizontal="center" vertical="center" wrapText="1"/>
    </xf>
    <xf numFmtId="0" fontId="10" fillId="0" borderId="125" xfId="0" applyFont="1" applyBorder="1" applyAlignment="1" applyProtection="1">
      <alignment horizontal="left" vertical="center"/>
      <protection locked="0"/>
    </xf>
    <xf numFmtId="0" fontId="10" fillId="0" borderId="126" xfId="0" applyFont="1" applyBorder="1" applyAlignment="1" applyProtection="1">
      <alignment horizontal="left" vertical="center"/>
      <protection locked="0"/>
    </xf>
    <xf numFmtId="0" fontId="39" fillId="16" borderId="126" xfId="0" applyFont="1" applyFill="1" applyBorder="1" applyAlignment="1" applyProtection="1">
      <alignment horizontal="center" vertical="center"/>
      <protection locked="0"/>
    </xf>
    <xf numFmtId="0" fontId="10" fillId="0" borderId="127" xfId="0" applyFont="1" applyBorder="1" applyAlignment="1" applyProtection="1">
      <alignment horizontal="left" vertical="center"/>
      <protection locked="0"/>
    </xf>
    <xf numFmtId="0" fontId="10" fillId="0" borderId="9" xfId="0" applyFont="1" applyBorder="1" applyAlignment="1" applyProtection="1">
      <alignment horizontal="left" vertical="center"/>
      <protection locked="0"/>
    </xf>
    <xf numFmtId="0" fontId="44" fillId="12" borderId="9" xfId="0" applyFont="1" applyFill="1" applyBorder="1" applyAlignment="1" applyProtection="1">
      <alignment horizontal="center" vertical="center"/>
      <protection locked="0"/>
    </xf>
    <xf numFmtId="0" fontId="44" fillId="0" borderId="127" xfId="0" applyFont="1" applyBorder="1" applyAlignment="1" applyProtection="1">
      <alignment horizontal="right" vertical="center"/>
      <protection locked="0"/>
    </xf>
    <xf numFmtId="0" fontId="44" fillId="0" borderId="9" xfId="0" applyFont="1" applyBorder="1" applyAlignment="1" applyProtection="1">
      <alignment horizontal="right" vertical="center"/>
      <protection locked="0"/>
    </xf>
    <xf numFmtId="0" fontId="53" fillId="12" borderId="128" xfId="0" applyFont="1" applyFill="1" applyBorder="1" applyAlignment="1" applyProtection="1">
      <alignment horizontal="center" vertical="center"/>
      <protection locked="0"/>
    </xf>
    <xf numFmtId="0" fontId="44" fillId="0" borderId="128" xfId="0" applyFont="1" applyBorder="1" applyAlignment="1" applyProtection="1">
      <alignment horizontal="left" vertical="center"/>
      <protection locked="0"/>
    </xf>
    <xf numFmtId="0" fontId="44" fillId="0" borderId="129" xfId="0" applyFont="1" applyBorder="1" applyAlignment="1" applyProtection="1">
      <alignment horizontal="left" vertical="center"/>
      <protection locked="0"/>
    </xf>
    <xf numFmtId="0" fontId="33" fillId="0" borderId="130" xfId="0" applyFont="1" applyBorder="1" applyAlignment="1">
      <alignment horizontal="center" vertical="center"/>
    </xf>
    <xf numFmtId="0" fontId="33" fillId="0" borderId="131" xfId="0" applyFont="1" applyBorder="1" applyAlignment="1">
      <alignment horizontal="center" vertical="center"/>
    </xf>
    <xf numFmtId="0" fontId="32" fillId="0" borderId="132" xfId="0" applyFont="1" applyBorder="1" applyAlignment="1">
      <alignment horizontal="center" vertical="center" shrinkToFit="1"/>
    </xf>
    <xf numFmtId="0" fontId="32" fillId="0" borderId="11" xfId="0" applyFont="1" applyBorder="1" applyAlignment="1">
      <alignment horizontal="center" vertical="center" shrinkToFit="1"/>
    </xf>
    <xf numFmtId="0" fontId="32" fillId="0" borderId="38" xfId="0" applyFont="1" applyBorder="1" applyAlignment="1">
      <alignment horizontal="center" vertical="center" shrinkToFit="1"/>
    </xf>
    <xf numFmtId="0" fontId="31" fillId="0" borderId="132" xfId="0" applyFont="1" applyBorder="1" applyAlignment="1">
      <alignment horizontal="center" vertical="center" shrinkToFit="1"/>
    </xf>
    <xf numFmtId="0" fontId="31" fillId="0" borderId="11" xfId="0" applyFont="1" applyBorder="1" applyAlignment="1">
      <alignment horizontal="center" vertical="center" shrinkToFit="1"/>
    </xf>
    <xf numFmtId="0" fontId="31" fillId="0" borderId="38" xfId="0" applyFont="1" applyBorder="1" applyAlignment="1">
      <alignment horizontal="center" vertical="center" shrinkToFit="1"/>
    </xf>
    <xf numFmtId="0" fontId="32" fillId="0" borderId="132" xfId="0" applyFont="1" applyBorder="1" applyAlignment="1">
      <alignment horizontal="center" vertical="center"/>
    </xf>
    <xf numFmtId="0" fontId="32" fillId="0" borderId="133" xfId="0" applyFont="1" applyBorder="1" applyAlignment="1">
      <alignment horizontal="center" vertical="center"/>
    </xf>
    <xf numFmtId="0" fontId="31" fillId="0" borderId="134" xfId="0" applyFont="1" applyBorder="1" applyAlignment="1">
      <alignment horizontal="center" vertical="center" shrinkToFit="1"/>
    </xf>
    <xf numFmtId="0" fontId="7" fillId="0" borderId="135" xfId="0" applyFont="1" applyBorder="1" applyAlignment="1">
      <alignment horizontal="center" vertical="center" shrinkToFit="1"/>
    </xf>
    <xf numFmtId="0" fontId="7" fillId="0" borderId="38" xfId="0" applyFont="1" applyBorder="1" applyAlignment="1">
      <alignment horizontal="center" vertical="center" shrinkToFit="1"/>
    </xf>
    <xf numFmtId="0" fontId="52" fillId="0" borderId="0" xfId="0" applyFont="1" applyAlignment="1">
      <alignment horizontal="left" vertical="center" wrapText="1"/>
    </xf>
    <xf numFmtId="49" fontId="32" fillId="0" borderId="132" xfId="0" applyNumberFormat="1" applyFont="1" applyBorder="1" applyAlignment="1">
      <alignment horizontal="center" vertical="center" shrinkToFit="1"/>
    </xf>
    <xf numFmtId="49" fontId="32" fillId="0" borderId="11" xfId="0" applyNumberFormat="1" applyFont="1" applyBorder="1" applyAlignment="1">
      <alignment horizontal="center" vertical="center" shrinkToFit="1"/>
    </xf>
    <xf numFmtId="49" fontId="32" fillId="0" borderId="38" xfId="0" applyNumberFormat="1" applyFont="1" applyBorder="1" applyAlignment="1">
      <alignment horizontal="center" vertical="center" shrinkToFit="1"/>
    </xf>
    <xf numFmtId="0" fontId="31" fillId="16" borderId="132" xfId="0" applyFont="1" applyFill="1" applyBorder="1" applyAlignment="1">
      <alignment horizontal="center" vertical="center" shrinkToFit="1"/>
    </xf>
    <xf numFmtId="0" fontId="31" fillId="16" borderId="11" xfId="0" applyFont="1" applyFill="1" applyBorder="1" applyAlignment="1">
      <alignment horizontal="center" vertical="center" shrinkToFit="1"/>
    </xf>
    <xf numFmtId="0" fontId="31" fillId="16" borderId="38" xfId="0" applyFont="1" applyFill="1" applyBorder="1" applyAlignment="1">
      <alignment horizontal="center" vertical="center" shrinkToFit="1"/>
    </xf>
    <xf numFmtId="49" fontId="32" fillId="0" borderId="106" xfId="0" applyNumberFormat="1" applyFont="1" applyBorder="1" applyAlignment="1">
      <alignment horizontal="center" vertical="center" shrinkToFit="1"/>
    </xf>
    <xf numFmtId="49" fontId="32" fillId="0" borderId="10" xfId="0" applyNumberFormat="1" applyFont="1" applyBorder="1" applyAlignment="1">
      <alignment horizontal="center" vertical="center" shrinkToFit="1"/>
    </xf>
    <xf numFmtId="49" fontId="32" fillId="0" borderId="37" xfId="0" applyNumberFormat="1" applyFont="1" applyBorder="1" applyAlignment="1">
      <alignment horizontal="center" vertical="center" shrinkToFit="1"/>
    </xf>
    <xf numFmtId="0" fontId="31" fillId="16" borderId="106" xfId="0" applyFont="1" applyFill="1" applyBorder="1" applyAlignment="1">
      <alignment horizontal="center" vertical="center" shrinkToFit="1"/>
    </xf>
    <xf numFmtId="0" fontId="31" fillId="16" borderId="10" xfId="0" applyFont="1" applyFill="1" applyBorder="1" applyAlignment="1">
      <alignment horizontal="center" vertical="center" shrinkToFit="1"/>
    </xf>
    <xf numFmtId="0" fontId="31" fillId="16" borderId="37" xfId="0" applyFont="1" applyFill="1" applyBorder="1" applyAlignment="1">
      <alignment horizontal="center" vertical="center" shrinkToFit="1"/>
    </xf>
    <xf numFmtId="49" fontId="32" fillId="0" borderId="15" xfId="0" applyNumberFormat="1" applyFont="1" applyBorder="1" applyAlignment="1">
      <alignment horizontal="center" vertical="center" shrinkToFit="1"/>
    </xf>
    <xf numFmtId="0" fontId="31" fillId="16" borderId="15" xfId="0" applyFont="1" applyFill="1" applyBorder="1" applyAlignment="1">
      <alignment horizontal="center" vertical="center" shrinkToFit="1"/>
    </xf>
    <xf numFmtId="0" fontId="41" fillId="0" borderId="107" xfId="0" applyFont="1" applyBorder="1" applyAlignment="1">
      <alignment horizontal="center" vertical="center" shrinkToFit="1"/>
    </xf>
    <xf numFmtId="0" fontId="38" fillId="12" borderId="18" xfId="0" applyFont="1" applyFill="1" applyBorder="1" applyAlignment="1" applyProtection="1">
      <alignment horizontal="center" vertical="center" shrinkToFit="1"/>
      <protection locked="0"/>
    </xf>
    <xf numFmtId="0" fontId="43" fillId="0" borderId="86" xfId="0" applyFont="1" applyBorder="1" applyAlignment="1">
      <alignment horizontal="left" vertical="center" wrapText="1" indent="1"/>
    </xf>
    <xf numFmtId="0" fontId="43" fillId="0" borderId="0" xfId="0" applyFont="1" applyAlignment="1">
      <alignment horizontal="left" vertical="center" wrapText="1" indent="1"/>
    </xf>
    <xf numFmtId="0" fontId="43" fillId="0" borderId="87" xfId="0" applyFont="1" applyBorder="1" applyAlignment="1">
      <alignment horizontal="left" vertical="center" wrapText="1" indent="1"/>
    </xf>
    <xf numFmtId="0" fontId="27" fillId="0" borderId="0" xfId="0" applyFont="1" applyAlignment="1">
      <alignment horizontal="left" vertical="center" shrinkToFit="1"/>
    </xf>
    <xf numFmtId="180" fontId="17" fillId="0" borderId="71" xfId="0" applyNumberFormat="1" applyFont="1" applyBorder="1" applyAlignment="1">
      <alignment horizontal="center" vertical="center" shrinkToFit="1"/>
    </xf>
    <xf numFmtId="180" fontId="17" fillId="0" borderId="74" xfId="0" applyNumberFormat="1" applyFont="1" applyBorder="1" applyAlignment="1">
      <alignment horizontal="center" vertical="center" shrinkToFit="1"/>
    </xf>
    <xf numFmtId="0" fontId="23" fillId="0" borderId="83" xfId="0" applyFont="1" applyBorder="1" applyAlignment="1">
      <alignment horizontal="left" vertical="center" shrinkToFit="1"/>
    </xf>
    <xf numFmtId="0" fontId="23" fillId="0" borderId="84" xfId="0" applyFont="1" applyBorder="1" applyAlignment="1">
      <alignment horizontal="left" vertical="center" shrinkToFit="1"/>
    </xf>
    <xf numFmtId="0" fontId="23" fillId="0" borderId="85" xfId="0" applyFont="1" applyBorder="1" applyAlignment="1">
      <alignment horizontal="left" vertical="center" shrinkToFit="1"/>
    </xf>
    <xf numFmtId="0" fontId="37" fillId="12" borderId="103" xfId="0" applyFont="1" applyFill="1" applyBorder="1" applyAlignment="1">
      <alignment horizontal="right" vertical="center" shrinkToFit="1"/>
    </xf>
    <xf numFmtId="0" fontId="37" fillId="12" borderId="104" xfId="0" applyFont="1" applyFill="1" applyBorder="1" applyAlignment="1">
      <alignment horizontal="right" vertical="center" shrinkToFit="1"/>
    </xf>
    <xf numFmtId="0" fontId="12" fillId="16" borderId="104" xfId="0" applyFont="1" applyFill="1" applyBorder="1" applyAlignment="1">
      <alignment horizontal="center" vertical="center" shrinkToFit="1"/>
    </xf>
    <xf numFmtId="0" fontId="12" fillId="16" borderId="105" xfId="0" applyFont="1" applyFill="1" applyBorder="1" applyAlignment="1">
      <alignment horizontal="center" vertical="center" shrinkToFit="1"/>
    </xf>
    <xf numFmtId="0" fontId="10" fillId="0" borderId="111" xfId="0" applyFont="1" applyBorder="1" applyAlignment="1">
      <alignment horizontal="center" vertical="center" wrapText="1" shrinkToFit="1"/>
    </xf>
    <xf numFmtId="0" fontId="10" fillId="0" borderId="100" xfId="0" applyFont="1" applyBorder="1" applyAlignment="1">
      <alignment horizontal="center" vertical="center" wrapText="1" shrinkToFit="1"/>
    </xf>
    <xf numFmtId="0" fontId="10" fillId="0" borderId="100" xfId="0" applyFont="1" applyBorder="1" applyAlignment="1">
      <alignment horizontal="center" vertical="center" shrinkToFit="1"/>
    </xf>
    <xf numFmtId="0" fontId="10" fillId="0" borderId="102" xfId="0" applyFont="1" applyBorder="1" applyAlignment="1">
      <alignment horizontal="center" vertical="center" shrinkToFit="1"/>
    </xf>
    <xf numFmtId="176" fontId="19" fillId="0" borderId="89" xfId="0" applyNumberFormat="1" applyFont="1" applyBorder="1" applyAlignment="1" applyProtection="1">
      <alignment horizontal="center" vertical="center" shrinkToFit="1"/>
      <protection locked="0"/>
    </xf>
    <xf numFmtId="176" fontId="19" fillId="0" borderId="84" xfId="0" applyNumberFormat="1" applyFont="1" applyBorder="1" applyAlignment="1" applyProtection="1">
      <alignment horizontal="center" vertical="center" shrinkToFit="1"/>
      <protection locked="0"/>
    </xf>
    <xf numFmtId="176" fontId="19" fillId="0" borderId="43" xfId="0" applyNumberFormat="1" applyFont="1" applyBorder="1" applyAlignment="1" applyProtection="1">
      <alignment horizontal="center" vertical="center" shrinkToFit="1"/>
      <protection locked="0"/>
    </xf>
    <xf numFmtId="0" fontId="43" fillId="12" borderId="86" xfId="0" applyFont="1" applyFill="1" applyBorder="1" applyAlignment="1">
      <alignment horizontal="left" vertical="center" wrapText="1" indent="1"/>
    </xf>
    <xf numFmtId="0" fontId="43" fillId="12" borderId="0" xfId="0" applyFont="1" applyFill="1" applyAlignment="1">
      <alignment horizontal="left" vertical="center" wrapText="1" indent="1"/>
    </xf>
    <xf numFmtId="0" fontId="43" fillId="12" borderId="87" xfId="0" applyFont="1" applyFill="1" applyBorder="1" applyAlignment="1">
      <alignment horizontal="left" vertical="center" wrapText="1" indent="1"/>
    </xf>
    <xf numFmtId="181" fontId="40" fillId="0" borderId="18" xfId="0" applyNumberFormat="1" applyFont="1" applyBorder="1" applyAlignment="1">
      <alignment horizontal="center" vertical="center" shrinkToFit="1"/>
    </xf>
    <xf numFmtId="181" fontId="40" fillId="0" borderId="34" xfId="0" applyNumberFormat="1" applyFont="1" applyBorder="1" applyAlignment="1">
      <alignment horizontal="center" vertical="center" shrinkToFit="1"/>
    </xf>
    <xf numFmtId="49" fontId="38" fillId="16" borderId="18" xfId="0" applyNumberFormat="1" applyFont="1" applyFill="1" applyBorder="1" applyAlignment="1" applyProtection="1">
      <alignment horizontal="center" vertical="center" shrinkToFit="1"/>
      <protection locked="0"/>
    </xf>
    <xf numFmtId="0" fontId="44" fillId="12" borderId="9" xfId="0" applyFont="1" applyFill="1" applyBorder="1" applyAlignment="1" applyProtection="1">
      <alignment horizontal="left" vertical="center"/>
      <protection locked="0"/>
    </xf>
    <xf numFmtId="0" fontId="9" fillId="0" borderId="136" xfId="0" applyFont="1" applyBorder="1" applyAlignment="1">
      <alignment horizontal="center" vertical="center" wrapText="1" shrinkToFit="1"/>
    </xf>
    <xf numFmtId="0" fontId="9" fillId="0" borderId="48" xfId="0" applyFont="1" applyBorder="1" applyAlignment="1">
      <alignment horizontal="center" vertical="center" wrapText="1" shrinkToFit="1"/>
    </xf>
    <xf numFmtId="0" fontId="9" fillId="0" borderId="96" xfId="0" applyFont="1" applyBorder="1" applyAlignment="1">
      <alignment horizontal="center" vertical="center" wrapText="1" shrinkToFit="1"/>
    </xf>
    <xf numFmtId="0" fontId="17" fillId="16" borderId="136" xfId="0" applyFont="1" applyFill="1" applyBorder="1" applyAlignment="1">
      <alignment horizontal="center" vertical="center" shrinkToFit="1"/>
    </xf>
    <xf numFmtId="0" fontId="17" fillId="16" borderId="48" xfId="0" applyFont="1" applyFill="1" applyBorder="1" applyAlignment="1">
      <alignment horizontal="center" vertical="center" shrinkToFit="1"/>
    </xf>
    <xf numFmtId="0" fontId="17" fillId="16" borderId="49" xfId="0" applyFont="1" applyFill="1" applyBorder="1" applyAlignment="1">
      <alignment horizontal="center" vertical="center" shrinkToFit="1"/>
    </xf>
    <xf numFmtId="49" fontId="19" fillId="0" borderId="82" xfId="0" applyNumberFormat="1" applyFont="1" applyBorder="1" applyAlignment="1">
      <alignment horizontal="center" vertical="center" shrinkToFit="1"/>
    </xf>
    <xf numFmtId="49" fontId="19" fillId="0" borderId="18" xfId="0" applyNumberFormat="1" applyFont="1" applyBorder="1" applyAlignment="1">
      <alignment horizontal="center" vertical="center" shrinkToFit="1"/>
    </xf>
    <xf numFmtId="49" fontId="19" fillId="0" borderId="77" xfId="0" applyNumberFormat="1" applyFont="1" applyBorder="1" applyAlignment="1">
      <alignment horizontal="center" vertical="center" shrinkToFit="1"/>
    </xf>
    <xf numFmtId="0" fontId="25" fillId="0" borderId="42" xfId="0" applyFont="1" applyBorder="1" applyAlignment="1">
      <alignment horizontal="center" vertical="center"/>
    </xf>
    <xf numFmtId="0" fontId="25" fillId="0" borderId="84" xfId="0" applyFont="1" applyBorder="1" applyAlignment="1">
      <alignment horizontal="center" vertical="center"/>
    </xf>
    <xf numFmtId="0" fontId="25" fillId="0" borderId="85" xfId="0" applyFont="1" applyBorder="1" applyAlignment="1">
      <alignment horizontal="center" vertical="center"/>
    </xf>
    <xf numFmtId="0" fontId="43" fillId="12" borderId="86" xfId="0" applyFont="1" applyFill="1" applyBorder="1" applyAlignment="1">
      <alignment horizontal="center" vertical="center" shrinkToFit="1"/>
    </xf>
    <xf numFmtId="0" fontId="43" fillId="12" borderId="0" xfId="0" applyFont="1" applyFill="1" applyAlignment="1">
      <alignment horizontal="center" vertical="center" shrinkToFit="1"/>
    </xf>
    <xf numFmtId="0" fontId="43" fillId="12" borderId="87" xfId="0" applyFont="1" applyFill="1" applyBorder="1" applyAlignment="1">
      <alignment horizontal="center" vertical="center" shrinkToFit="1"/>
    </xf>
    <xf numFmtId="0" fontId="62" fillId="12" borderId="86" xfId="0" applyFont="1" applyFill="1" applyBorder="1" applyAlignment="1">
      <alignment horizontal="center" vertical="center" wrapText="1" shrinkToFit="1"/>
    </xf>
    <xf numFmtId="0" fontId="62" fillId="12" borderId="0" xfId="0" applyFont="1" applyFill="1" applyAlignment="1">
      <alignment horizontal="center" vertical="center" wrapText="1" shrinkToFit="1"/>
    </xf>
    <xf numFmtId="0" fontId="62" fillId="12" borderId="87" xfId="0" applyFont="1" applyFill="1" applyBorder="1" applyAlignment="1">
      <alignment horizontal="center" vertical="center" wrapText="1" shrinkToFit="1"/>
    </xf>
    <xf numFmtId="0" fontId="25" fillId="0" borderId="18" xfId="0" applyFont="1" applyBorder="1" applyAlignment="1">
      <alignment horizontal="left" vertical="center" shrinkToFit="1"/>
    </xf>
    <xf numFmtId="0" fontId="25" fillId="0" borderId="18" xfId="0" applyFont="1" applyBorder="1" applyAlignment="1">
      <alignment horizontal="right" vertical="center"/>
    </xf>
    <xf numFmtId="0" fontId="0" fillId="0" borderId="0" xfId="0" applyAlignment="1">
      <alignment horizontal="left" vertical="center" wrapText="1"/>
    </xf>
    <xf numFmtId="0" fontId="10" fillId="0" borderId="79" xfId="0" applyFont="1" applyBorder="1" applyAlignment="1">
      <alignment horizontal="center" vertical="center" wrapText="1"/>
    </xf>
    <xf numFmtId="0" fontId="10" fillId="0" borderId="7" xfId="0" applyFont="1" applyBorder="1" applyAlignment="1">
      <alignment horizontal="center" vertical="center" wrapText="1"/>
    </xf>
    <xf numFmtId="0" fontId="10" fillId="0" borderId="141" xfId="0" applyFont="1" applyBorder="1" applyAlignment="1">
      <alignment horizontal="center" vertical="center" wrapText="1"/>
    </xf>
    <xf numFmtId="0" fontId="10" fillId="0" borderId="139" xfId="0" applyFont="1" applyBorder="1" applyAlignment="1">
      <alignment horizontal="center" vertical="center" wrapText="1"/>
    </xf>
    <xf numFmtId="0" fontId="17" fillId="12" borderId="7" xfId="0" applyFont="1" applyFill="1" applyBorder="1" applyAlignment="1" applyProtection="1">
      <alignment horizontal="center" vertical="center"/>
      <protection locked="0"/>
    </xf>
    <xf numFmtId="0" fontId="17" fillId="12" borderId="80" xfId="0" applyFont="1" applyFill="1" applyBorder="1" applyAlignment="1" applyProtection="1">
      <alignment horizontal="center" vertical="center"/>
      <protection locked="0"/>
    </xf>
    <xf numFmtId="0" fontId="17" fillId="12" borderId="139" xfId="0" applyFont="1" applyFill="1" applyBorder="1" applyAlignment="1" applyProtection="1">
      <alignment horizontal="center" vertical="center"/>
      <protection locked="0"/>
    </xf>
    <xf numFmtId="0" fontId="17" fillId="12" borderId="142" xfId="0" applyFont="1" applyFill="1" applyBorder="1" applyAlignment="1" applyProtection="1">
      <alignment horizontal="center" vertical="center"/>
      <protection locked="0"/>
    </xf>
    <xf numFmtId="0" fontId="10" fillId="0" borderId="103" xfId="0" applyFont="1" applyBorder="1" applyAlignment="1">
      <alignment horizontal="left" shrinkToFit="1"/>
    </xf>
    <xf numFmtId="0" fontId="10" fillId="0" borderId="104" xfId="0" applyFont="1" applyBorder="1" applyAlignment="1">
      <alignment horizontal="left" shrinkToFit="1"/>
    </xf>
    <xf numFmtId="0" fontId="10" fillId="0" borderId="105" xfId="0" applyFont="1" applyBorder="1" applyAlignment="1">
      <alignment horizontal="left" shrinkToFit="1"/>
    </xf>
    <xf numFmtId="0" fontId="10" fillId="0" borderId="97" xfId="0" applyFont="1" applyBorder="1" applyAlignment="1">
      <alignment horizontal="left" wrapText="1" shrinkToFit="1"/>
    </xf>
    <xf numFmtId="0" fontId="10" fillId="0" borderId="98" xfId="0" applyFont="1" applyBorder="1" applyAlignment="1">
      <alignment horizontal="left" shrinkToFit="1"/>
    </xf>
    <xf numFmtId="0" fontId="10" fillId="0" borderId="137" xfId="0" applyFont="1" applyBorder="1" applyAlignment="1">
      <alignment horizontal="left" shrinkToFit="1"/>
    </xf>
    <xf numFmtId="0" fontId="10" fillId="0" borderId="118" xfId="0" applyFont="1" applyBorder="1" applyAlignment="1">
      <alignment horizontal="left" vertical="center" indent="4"/>
    </xf>
    <xf numFmtId="0" fontId="10" fillId="0" borderId="138" xfId="0" applyFont="1" applyBorder="1" applyAlignment="1">
      <alignment horizontal="left" vertical="center" indent="4"/>
    </xf>
    <xf numFmtId="0" fontId="10" fillId="0" borderId="119" xfId="0" applyFont="1" applyBorder="1" applyAlignment="1">
      <alignment horizontal="left" vertical="center" indent="4"/>
    </xf>
    <xf numFmtId="0" fontId="63" fillId="12" borderId="83" xfId="0" applyFont="1" applyFill="1" applyBorder="1" applyAlignment="1" applyProtection="1">
      <alignment horizontal="left" vertical="center" wrapText="1" indent="1" shrinkToFit="1"/>
      <protection locked="0"/>
    </xf>
    <xf numFmtId="0" fontId="63" fillId="12" borderId="84" xfId="0" applyFont="1" applyFill="1" applyBorder="1" applyAlignment="1" applyProtection="1">
      <alignment horizontal="left" vertical="center" wrapText="1" indent="1" shrinkToFit="1"/>
      <protection locked="0"/>
    </xf>
    <xf numFmtId="0" fontId="63" fillId="12" borderId="43" xfId="0" applyFont="1" applyFill="1" applyBorder="1" applyAlignment="1" applyProtection="1">
      <alignment horizontal="left" vertical="center" wrapText="1" indent="1" shrinkToFit="1"/>
      <protection locked="0"/>
    </xf>
    <xf numFmtId="0" fontId="10" fillId="0" borderId="97" xfId="0" applyFont="1" applyBorder="1" applyAlignment="1">
      <alignment horizontal="left" shrinkToFit="1"/>
    </xf>
    <xf numFmtId="0" fontId="16" fillId="0" borderId="98" xfId="0" applyFont="1" applyBorder="1" applyAlignment="1">
      <alignment horizontal="left" shrinkToFit="1"/>
    </xf>
    <xf numFmtId="0" fontId="16" fillId="0" borderId="137" xfId="0" applyFont="1" applyBorder="1" applyAlignment="1">
      <alignment horizontal="left" shrinkToFit="1"/>
    </xf>
    <xf numFmtId="0" fontId="25" fillId="0" borderId="51" xfId="0" applyFont="1" applyBorder="1" applyAlignment="1">
      <alignment horizontal="center" vertical="center" wrapText="1"/>
    </xf>
    <xf numFmtId="0" fontId="25" fillId="0" borderId="0" xfId="0" applyFont="1" applyAlignment="1">
      <alignment horizontal="center" vertical="center" wrapText="1"/>
    </xf>
    <xf numFmtId="177" fontId="26" fillId="12" borderId="7" xfId="0" applyNumberFormat="1" applyFont="1" applyFill="1" applyBorder="1" applyAlignment="1" applyProtection="1">
      <alignment horizontal="right" vertical="center"/>
      <protection locked="0"/>
    </xf>
    <xf numFmtId="177" fontId="26" fillId="12" borderId="139" xfId="0" applyNumberFormat="1" applyFont="1" applyFill="1" applyBorder="1" applyAlignment="1" applyProtection="1">
      <alignment horizontal="right" vertical="center"/>
      <protection locked="0"/>
    </xf>
    <xf numFmtId="0" fontId="10" fillId="0" borderId="78" xfId="0" applyFont="1" applyBorder="1" applyAlignment="1">
      <alignment horizontal="left" vertical="center" shrinkToFit="1"/>
    </xf>
    <xf numFmtId="0" fontId="10" fillId="0" borderId="139" xfId="0" applyFont="1" applyBorder="1" applyAlignment="1">
      <alignment horizontal="left" vertical="center" shrinkToFit="1"/>
    </xf>
    <xf numFmtId="0" fontId="10" fillId="0" borderId="140" xfId="0" applyFont="1" applyBorder="1" applyAlignment="1">
      <alignment horizontal="left" vertical="center" shrinkToFit="1"/>
    </xf>
    <xf numFmtId="0" fontId="31" fillId="0" borderId="1" xfId="0" applyFont="1" applyBorder="1" applyAlignment="1">
      <alignment horizontal="center" vertical="center" shrinkToFit="1"/>
    </xf>
    <xf numFmtId="0" fontId="25" fillId="0" borderId="18" xfId="0" applyFont="1" applyBorder="1" applyAlignment="1">
      <alignment horizontal="left" vertical="center"/>
    </xf>
    <xf numFmtId="0" fontId="25" fillId="0" borderId="34" xfId="0" applyFont="1" applyBorder="1" applyAlignment="1">
      <alignment horizontal="left" vertical="center"/>
    </xf>
    <xf numFmtId="49" fontId="17" fillId="12" borderId="17" xfId="0" applyNumberFormat="1" applyFont="1" applyFill="1" applyBorder="1" applyAlignment="1" applyProtection="1">
      <alignment horizontal="center" vertical="center" shrinkToFit="1"/>
      <protection locked="0"/>
    </xf>
    <xf numFmtId="0" fontId="17" fillId="12" borderId="18" xfId="0" applyFont="1" applyFill="1" applyBorder="1" applyAlignment="1" applyProtection="1">
      <alignment horizontal="center" vertical="center" shrinkToFit="1"/>
      <protection locked="0"/>
    </xf>
    <xf numFmtId="0" fontId="10" fillId="12" borderId="143" xfId="0" applyFont="1" applyFill="1" applyBorder="1" applyAlignment="1" applyProtection="1">
      <alignment horizontal="left" vertical="center"/>
      <protection locked="0"/>
    </xf>
    <xf numFmtId="0" fontId="10" fillId="12" borderId="144" xfId="0" applyFont="1" applyFill="1" applyBorder="1" applyAlignment="1" applyProtection="1">
      <alignment horizontal="left" vertical="center"/>
      <protection locked="0"/>
    </xf>
    <xf numFmtId="0" fontId="10" fillId="12" borderId="145" xfId="0" applyFont="1" applyFill="1" applyBorder="1" applyAlignment="1" applyProtection="1">
      <alignment horizontal="left" vertical="center"/>
      <protection locked="0"/>
    </xf>
    <xf numFmtId="0" fontId="10" fillId="12" borderId="127" xfId="0" applyFont="1" applyFill="1" applyBorder="1" applyAlignment="1" applyProtection="1">
      <alignment horizontal="left" vertical="center"/>
      <protection locked="0"/>
    </xf>
    <xf numFmtId="0" fontId="10" fillId="12" borderId="9" xfId="0" applyFont="1" applyFill="1" applyBorder="1" applyAlignment="1" applyProtection="1">
      <alignment horizontal="left" vertical="center"/>
      <protection locked="0"/>
    </xf>
    <xf numFmtId="177" fontId="59" fillId="12" borderId="146" xfId="0" applyNumberFormat="1" applyFont="1" applyFill="1" applyBorder="1" applyAlignment="1" applyProtection="1">
      <alignment horizontal="right" vertical="center"/>
      <protection locked="0"/>
    </xf>
    <xf numFmtId="0" fontId="59" fillId="12" borderId="146" xfId="0" applyFont="1" applyFill="1" applyBorder="1" applyAlignment="1" applyProtection="1">
      <alignment horizontal="right" vertical="center"/>
      <protection locked="0"/>
    </xf>
    <xf numFmtId="0" fontId="46" fillId="12" borderId="146" xfId="0" applyFont="1" applyFill="1" applyBorder="1" applyAlignment="1" applyProtection="1">
      <alignment horizontal="center" vertical="center"/>
      <protection locked="0"/>
    </xf>
    <xf numFmtId="0" fontId="46" fillId="12" borderId="146" xfId="0" applyFont="1" applyFill="1" applyBorder="1" applyAlignment="1" applyProtection="1">
      <alignment horizontal="left" vertical="center"/>
      <protection locked="0"/>
    </xf>
    <xf numFmtId="0" fontId="33" fillId="0" borderId="147" xfId="0" applyFont="1" applyBorder="1" applyAlignment="1">
      <alignment horizontal="center" vertical="center"/>
    </xf>
    <xf numFmtId="0" fontId="33" fillId="0" borderId="148" xfId="0" applyFont="1" applyBorder="1" applyAlignment="1">
      <alignment horizontal="center" vertical="center"/>
    </xf>
    <xf numFmtId="177" fontId="46" fillId="12" borderId="146" xfId="0" applyNumberFormat="1" applyFont="1" applyFill="1" applyBorder="1" applyAlignment="1" applyProtection="1">
      <alignment horizontal="right" vertical="center"/>
      <protection locked="0"/>
    </xf>
    <xf numFmtId="0" fontId="46" fillId="12" borderId="146" xfId="0" applyFont="1" applyFill="1" applyBorder="1" applyAlignment="1" applyProtection="1">
      <alignment horizontal="right" vertical="center"/>
      <protection locked="0"/>
    </xf>
    <xf numFmtId="56" fontId="17" fillId="12" borderId="7" xfId="0" applyNumberFormat="1" applyFont="1" applyFill="1" applyBorder="1" applyAlignment="1" applyProtection="1">
      <alignment horizontal="center" vertical="center"/>
      <protection locked="0"/>
    </xf>
    <xf numFmtId="0" fontId="10" fillId="0" borderId="86" xfId="0" applyFont="1" applyBorder="1" applyAlignment="1">
      <alignment horizontal="left" shrinkToFit="1"/>
    </xf>
    <xf numFmtId="0" fontId="10" fillId="0" borderId="0" xfId="0" applyFont="1" applyAlignment="1">
      <alignment horizontal="left" shrinkToFit="1"/>
    </xf>
    <xf numFmtId="0" fontId="10" fillId="0" borderId="50" xfId="0" applyFont="1" applyBorder="1" applyAlignment="1">
      <alignment horizontal="left" shrinkToFit="1"/>
    </xf>
    <xf numFmtId="0" fontId="52" fillId="0" borderId="0" xfId="0" applyFont="1" applyAlignment="1">
      <alignment horizontal="left" vertical="top" wrapText="1"/>
    </xf>
    <xf numFmtId="0" fontId="45" fillId="12" borderId="83" xfId="0" applyFont="1" applyFill="1" applyBorder="1" applyAlignment="1" applyProtection="1">
      <alignment horizontal="left" vertical="center" wrapText="1" indent="1" shrinkToFit="1"/>
      <protection locked="0"/>
    </xf>
    <xf numFmtId="0" fontId="45" fillId="12" borderId="84" xfId="0" applyFont="1" applyFill="1" applyBorder="1" applyAlignment="1" applyProtection="1">
      <alignment horizontal="left" vertical="center" wrapText="1" indent="1" shrinkToFit="1"/>
      <protection locked="0"/>
    </xf>
    <xf numFmtId="0" fontId="45" fillId="12" borderId="43" xfId="0" applyFont="1" applyFill="1" applyBorder="1" applyAlignment="1" applyProtection="1">
      <alignment horizontal="left" vertical="center" wrapText="1" indent="1" shrinkToFit="1"/>
      <protection locked="0"/>
    </xf>
    <xf numFmtId="0" fontId="43" fillId="12" borderId="86" xfId="0" applyFont="1" applyFill="1" applyBorder="1" applyAlignment="1">
      <alignment horizontal="left" vertical="center" indent="1" shrinkToFit="1"/>
    </xf>
    <xf numFmtId="0" fontId="43" fillId="12" borderId="0" xfId="0" applyFont="1" applyFill="1" applyAlignment="1">
      <alignment horizontal="left" vertical="center" indent="1" shrinkToFit="1"/>
    </xf>
    <xf numFmtId="0" fontId="43" fillId="12" borderId="87" xfId="0" applyFont="1" applyFill="1" applyBorder="1" applyAlignment="1">
      <alignment horizontal="left" vertical="center" indent="1" shrinkToFit="1"/>
    </xf>
    <xf numFmtId="0" fontId="48" fillId="0" borderId="48" xfId="0" applyFont="1" applyBorder="1" applyAlignment="1">
      <alignment horizontal="right" vertical="center"/>
    </xf>
    <xf numFmtId="0" fontId="48" fillId="0" borderId="49" xfId="0" applyFont="1" applyBorder="1" applyAlignment="1">
      <alignment horizontal="right" vertical="center"/>
    </xf>
    <xf numFmtId="0" fontId="55" fillId="0" borderId="0" xfId="0" applyFont="1" applyAlignment="1">
      <alignment horizontal="center" vertical="center"/>
    </xf>
    <xf numFmtId="0" fontId="78" fillId="0" borderId="1" xfId="0" applyFont="1" applyBorder="1" applyAlignment="1">
      <alignment horizontal="center" vertical="center" shrinkToFit="1"/>
    </xf>
    <xf numFmtId="0" fontId="78" fillId="0" borderId="7" xfId="0" applyFont="1" applyBorder="1" applyAlignment="1">
      <alignment horizontal="center" vertical="center" shrinkToFit="1"/>
    </xf>
    <xf numFmtId="0" fontId="78" fillId="0" borderId="83" xfId="0" applyFont="1" applyBorder="1" applyAlignment="1">
      <alignment horizontal="center" vertical="center" shrinkToFit="1"/>
    </xf>
    <xf numFmtId="0" fontId="78" fillId="0" borderId="84" xfId="0" applyFont="1" applyBorder="1" applyAlignment="1">
      <alignment horizontal="center" vertical="center" shrinkToFit="1"/>
    </xf>
    <xf numFmtId="0" fontId="104" fillId="0" borderId="90" xfId="0" applyFont="1" applyBorder="1" applyAlignment="1">
      <alignment horizontal="center" vertical="center" shrinkToFit="1"/>
    </xf>
    <xf numFmtId="0" fontId="104" fillId="0" borderId="85" xfId="0" applyFont="1" applyBorder="1" applyAlignment="1">
      <alignment horizontal="center" vertical="center" shrinkToFit="1"/>
    </xf>
    <xf numFmtId="0" fontId="15" fillId="0" borderId="14" xfId="0" applyFont="1" applyBorder="1" applyAlignment="1">
      <alignment horizontal="center" vertical="center"/>
    </xf>
    <xf numFmtId="0" fontId="72" fillId="0" borderId="39" xfId="0" applyFont="1" applyBorder="1" applyAlignment="1">
      <alignment horizontal="center" vertical="center" shrinkToFit="1"/>
    </xf>
    <xf numFmtId="0" fontId="72" fillId="0" borderId="40" xfId="0" applyFont="1" applyBorder="1" applyAlignment="1">
      <alignment horizontal="center" vertical="center" shrinkToFit="1"/>
    </xf>
    <xf numFmtId="0" fontId="72" fillId="0" borderId="41" xfId="0" applyFont="1" applyBorder="1" applyAlignment="1">
      <alignment horizontal="center" vertical="center" shrinkToFit="1"/>
    </xf>
    <xf numFmtId="0" fontId="32" fillId="0" borderId="52" xfId="0" applyFont="1" applyBorder="1" applyAlignment="1">
      <alignment horizontal="center" vertical="center" wrapText="1" shrinkToFit="1"/>
    </xf>
    <xf numFmtId="0" fontId="32" fillId="0" borderId="69" xfId="0" applyFont="1" applyBorder="1" applyAlignment="1">
      <alignment horizontal="center" vertical="center" shrinkToFit="1"/>
    </xf>
    <xf numFmtId="0" fontId="0" fillId="0" borderId="52" xfId="0" applyBorder="1" applyAlignment="1">
      <alignment horizontal="center" vertical="center" wrapText="1"/>
    </xf>
    <xf numFmtId="0" fontId="0" fillId="0" borderId="69" xfId="0" applyBorder="1" applyAlignment="1">
      <alignment horizontal="center" vertical="center"/>
    </xf>
    <xf numFmtId="0" fontId="0" fillId="0" borderId="55" xfId="0" applyBorder="1" applyAlignment="1">
      <alignment horizontal="center" vertical="center"/>
    </xf>
    <xf numFmtId="0" fontId="100" fillId="0" borderId="53" xfId="0" applyFont="1" applyBorder="1" applyAlignment="1">
      <alignment horizontal="center" vertical="center"/>
    </xf>
    <xf numFmtId="0" fontId="69" fillId="0" borderId="54" xfId="0" applyFont="1" applyBorder="1" applyAlignment="1">
      <alignment horizontal="center" vertical="center" shrinkToFit="1"/>
    </xf>
    <xf numFmtId="0" fontId="69" fillId="0" borderId="55" xfId="0" applyFont="1" applyBorder="1" applyAlignment="1">
      <alignment horizontal="center" vertical="center" shrinkToFit="1"/>
    </xf>
    <xf numFmtId="0" fontId="48" fillId="0" borderId="63" xfId="0" applyFont="1" applyBorder="1" applyAlignment="1">
      <alignment horizontal="left" vertical="center"/>
    </xf>
    <xf numFmtId="0" fontId="48" fillId="0" borderId="48" xfId="0" applyFont="1" applyBorder="1" applyAlignment="1">
      <alignment horizontal="left" vertical="center"/>
    </xf>
    <xf numFmtId="0" fontId="48" fillId="0" borderId="49" xfId="0" applyFont="1" applyBorder="1" applyAlignment="1">
      <alignment horizontal="left" vertical="center"/>
    </xf>
    <xf numFmtId="0" fontId="70" fillId="0" borderId="63" xfId="0" applyFont="1" applyBorder="1" applyAlignment="1">
      <alignment horizontal="left" vertical="center"/>
    </xf>
    <xf numFmtId="0" fontId="70" fillId="0" borderId="48" xfId="0" applyFont="1" applyBorder="1" applyAlignment="1">
      <alignment horizontal="left" vertical="center"/>
    </xf>
    <xf numFmtId="0" fontId="24" fillId="0" borderId="48" xfId="0" applyFont="1" applyBorder="1" applyAlignment="1">
      <alignment horizontal="left" vertical="center" wrapText="1" indent="1" shrinkToFit="1"/>
    </xf>
    <xf numFmtId="0" fontId="24" fillId="0" borderId="49" xfId="0" applyFont="1" applyBorder="1" applyAlignment="1">
      <alignment horizontal="left" vertical="center" wrapText="1" indent="1" shrinkToFit="1"/>
    </xf>
    <xf numFmtId="0" fontId="24" fillId="0" borderId="51" xfId="0" applyFont="1" applyBorder="1" applyAlignment="1">
      <alignment horizontal="left" vertical="center" wrapText="1" indent="1" shrinkToFit="1"/>
    </xf>
    <xf numFmtId="0" fontId="24" fillId="0" borderId="0" xfId="0" applyFont="1" applyAlignment="1">
      <alignment horizontal="left" vertical="center" wrapText="1" indent="1" shrinkToFit="1"/>
    </xf>
    <xf numFmtId="0" fontId="24" fillId="0" borderId="50" xfId="0" applyFont="1" applyBorder="1" applyAlignment="1">
      <alignment horizontal="left" vertical="center" wrapText="1" indent="1" shrinkToFit="1"/>
    </xf>
    <xf numFmtId="0" fontId="24" fillId="0" borderId="39" xfId="0" applyFont="1" applyBorder="1" applyAlignment="1">
      <alignment horizontal="left" vertical="center" wrapText="1" indent="1" shrinkToFit="1"/>
    </xf>
    <xf numFmtId="0" fontId="24" fillId="0" borderId="40" xfId="0" applyFont="1" applyBorder="1" applyAlignment="1">
      <alignment horizontal="left" vertical="center" wrapText="1" indent="1" shrinkToFit="1"/>
    </xf>
    <xf numFmtId="0" fontId="24" fillId="0" borderId="41" xfId="0" applyFont="1" applyBorder="1" applyAlignment="1">
      <alignment horizontal="left" vertical="center" wrapText="1" indent="1" shrinkToFit="1"/>
    </xf>
    <xf numFmtId="0" fontId="105" fillId="0" borderId="16" xfId="0" applyFont="1" applyBorder="1" applyAlignment="1">
      <alignment horizontal="left" vertical="center" wrapText="1" indent="1"/>
    </xf>
    <xf numFmtId="0" fontId="14" fillId="0" borderId="1" xfId="0" applyFont="1" applyBorder="1" applyAlignment="1">
      <alignment horizontal="left" vertical="center"/>
    </xf>
    <xf numFmtId="0" fontId="14" fillId="0" borderId="7" xfId="0" applyFont="1" applyBorder="1" applyAlignment="1">
      <alignment horizontal="left" vertical="center"/>
    </xf>
    <xf numFmtId="0" fontId="14" fillId="0" borderId="90" xfId="0" applyFont="1" applyBorder="1" applyAlignment="1">
      <alignment horizontal="left" vertical="center"/>
    </xf>
    <xf numFmtId="0" fontId="98" fillId="43" borderId="63" xfId="0" applyFont="1" applyFill="1" applyBorder="1" applyAlignment="1">
      <alignment horizontal="center" vertical="center"/>
    </xf>
    <xf numFmtId="0" fontId="98" fillId="43" borderId="48" xfId="0" applyFont="1" applyFill="1" applyBorder="1" applyAlignment="1">
      <alignment horizontal="center" vertical="center"/>
    </xf>
    <xf numFmtId="0" fontId="98" fillId="43" borderId="51" xfId="0" applyFont="1" applyFill="1" applyBorder="1" applyAlignment="1">
      <alignment horizontal="center" vertical="center"/>
    </xf>
    <xf numFmtId="0" fontId="98" fillId="43" borderId="0" xfId="0" applyFont="1" applyFill="1" applyAlignment="1">
      <alignment horizontal="center" vertical="center"/>
    </xf>
    <xf numFmtId="49" fontId="17" fillId="12" borderId="18" xfId="0" applyNumberFormat="1" applyFont="1" applyFill="1" applyBorder="1" applyAlignment="1" applyProtection="1">
      <alignment horizontal="center" vertical="center" shrinkToFit="1"/>
      <protection locked="0"/>
    </xf>
    <xf numFmtId="0" fontId="56" fillId="12" borderId="83" xfId="0" applyFont="1" applyFill="1" applyBorder="1" applyAlignment="1" applyProtection="1">
      <alignment horizontal="left" vertical="center" wrapText="1" indent="1" shrinkToFit="1"/>
      <protection locked="0"/>
    </xf>
    <xf numFmtId="0" fontId="56" fillId="12" borderId="84" xfId="0" applyFont="1" applyFill="1" applyBorder="1" applyAlignment="1" applyProtection="1">
      <alignment horizontal="left" vertical="center" wrapText="1" indent="1" shrinkToFit="1"/>
      <protection locked="0"/>
    </xf>
    <xf numFmtId="0" fontId="56" fillId="12" borderId="43" xfId="0" applyFont="1" applyFill="1" applyBorder="1" applyAlignment="1" applyProtection="1">
      <alignment horizontal="left" vertical="center" wrapText="1" indent="1" shrinkToFit="1"/>
      <protection locked="0"/>
    </xf>
    <xf numFmtId="0" fontId="43" fillId="12" borderId="86" xfId="0" applyFont="1" applyFill="1" applyBorder="1" applyAlignment="1">
      <alignment horizontal="left" vertical="center" wrapText="1" indent="1" shrinkToFit="1"/>
    </xf>
    <xf numFmtId="180" fontId="17" fillId="12" borderId="71" xfId="0" applyNumberFormat="1" applyFont="1" applyFill="1" applyBorder="1" applyAlignment="1">
      <alignment horizontal="center" vertical="center" shrinkToFit="1"/>
    </xf>
    <xf numFmtId="180" fontId="17" fillId="12" borderId="74" xfId="0" applyNumberFormat="1" applyFont="1" applyFill="1" applyBorder="1" applyAlignment="1">
      <alignment horizontal="center" vertical="center" shrinkToFit="1"/>
    </xf>
    <xf numFmtId="177" fontId="26" fillId="16" borderId="7" xfId="0" applyNumberFormat="1" applyFont="1" applyFill="1" applyBorder="1" applyAlignment="1" applyProtection="1">
      <alignment horizontal="center" vertical="center" shrinkToFit="1"/>
      <protection locked="0"/>
    </xf>
    <xf numFmtId="0" fontId="17" fillId="16" borderId="7" xfId="0" applyFont="1" applyFill="1" applyBorder="1" applyAlignment="1" applyProtection="1">
      <alignment horizontal="center" vertical="center" shrinkToFit="1"/>
      <protection locked="0"/>
    </xf>
    <xf numFmtId="0" fontId="17" fillId="16" borderId="80" xfId="0" applyFont="1" applyFill="1" applyBorder="1" applyAlignment="1" applyProtection="1">
      <alignment horizontal="center" vertical="center" shrinkToFit="1"/>
      <protection locked="0"/>
    </xf>
    <xf numFmtId="0" fontId="10" fillId="0" borderId="149" xfId="0" applyFont="1" applyBorder="1" applyAlignment="1" applyProtection="1">
      <alignment horizontal="left" vertical="center"/>
      <protection locked="0"/>
    </xf>
    <xf numFmtId="0" fontId="10" fillId="0" borderId="123" xfId="0" applyFont="1" applyBorder="1" applyAlignment="1" applyProtection="1">
      <alignment horizontal="left" vertical="center"/>
      <protection locked="0"/>
    </xf>
    <xf numFmtId="0" fontId="39" fillId="16" borderId="123" xfId="0" applyFont="1" applyFill="1" applyBorder="1" applyAlignment="1" applyProtection="1">
      <alignment horizontal="center" vertical="center"/>
      <protection locked="0"/>
    </xf>
    <xf numFmtId="0" fontId="0" fillId="0" borderId="44" xfId="0" applyBorder="1" applyAlignment="1"/>
    <xf numFmtId="0" fontId="0" fillId="0" borderId="46" xfId="0" applyBorder="1" applyAlignment="1"/>
    <xf numFmtId="0" fontId="0" fillId="0" borderId="70" xfId="0" applyBorder="1" applyAlignment="1"/>
    <xf numFmtId="0" fontId="0" fillId="0" borderId="74" xfId="0" applyBorder="1" applyAlignment="1"/>
    <xf numFmtId="0" fontId="55" fillId="0" borderId="0" xfId="0" applyFont="1" applyAlignment="1">
      <alignment horizontal="right"/>
    </xf>
    <xf numFmtId="0" fontId="0" fillId="0" borderId="47" xfId="0" applyBorder="1" applyAlignment="1"/>
    <xf numFmtId="0" fontId="0" fillId="0" borderId="34" xfId="0" applyBorder="1" applyAlignment="1"/>
    <xf numFmtId="0" fontId="34" fillId="0" borderId="71" xfId="0" applyFont="1" applyBorder="1">
      <alignment vertical="center"/>
    </xf>
    <xf numFmtId="0" fontId="34" fillId="0" borderId="71" xfId="0" applyFont="1" applyBorder="1" applyAlignment="1"/>
    <xf numFmtId="0" fontId="7" fillId="0" borderId="7" xfId="0" applyFont="1" applyBorder="1" applyAlignment="1"/>
    <xf numFmtId="0" fontId="0" fillId="0" borderId="52" xfId="0" applyBorder="1" applyAlignment="1">
      <alignment horizontal="center" vertical="center"/>
    </xf>
    <xf numFmtId="0" fontId="0" fillId="0" borderId="70" xfId="0" applyBorder="1" applyAlignment="1">
      <alignment horizontal="center" vertical="center"/>
    </xf>
    <xf numFmtId="0" fontId="0" fillId="0" borderId="74" xfId="0" applyBorder="1" applyAlignment="1">
      <alignment horizontal="center" vertical="center"/>
    </xf>
    <xf numFmtId="0" fontId="30" fillId="0" borderId="40" xfId="0" applyFont="1" applyBorder="1" applyAlignment="1">
      <alignment horizontal="right" vertical="center"/>
    </xf>
    <xf numFmtId="0" fontId="24" fillId="0" borderId="40" xfId="0" applyFont="1" applyBorder="1" applyAlignment="1">
      <alignment horizontal="right" vertical="center"/>
    </xf>
    <xf numFmtId="0" fontId="24" fillId="0" borderId="41" xfId="0" applyFont="1" applyBorder="1" applyAlignment="1">
      <alignment horizontal="right" vertical="center"/>
    </xf>
    <xf numFmtId="0" fontId="34" fillId="0" borderId="0" xfId="0" applyFont="1">
      <alignment vertical="center"/>
    </xf>
    <xf numFmtId="0" fontId="48" fillId="0" borderId="0" xfId="0" applyFont="1">
      <alignment vertical="center"/>
    </xf>
    <xf numFmtId="0" fontId="48" fillId="0" borderId="50" xfId="0" applyFont="1" applyBorder="1">
      <alignment vertical="center"/>
    </xf>
    <xf numFmtId="0" fontId="0" fillId="0" borderId="26" xfId="0" applyBorder="1" applyAlignment="1">
      <alignment horizontal="center" vertical="center"/>
    </xf>
    <xf numFmtId="0" fontId="79" fillId="0" borderId="48" xfId="0" applyFont="1" applyBorder="1" applyAlignment="1">
      <alignment horizontal="right" vertical="center"/>
    </xf>
    <xf numFmtId="0" fontId="79" fillId="0" borderId="49" xfId="0" applyFont="1" applyBorder="1" applyAlignment="1">
      <alignment horizontal="right" vertical="center"/>
    </xf>
    <xf numFmtId="0" fontId="55" fillId="0" borderId="0" xfId="0" applyFont="1" applyAlignment="1">
      <alignment horizontal="left" vertical="center" wrapText="1"/>
    </xf>
    <xf numFmtId="0" fontId="55" fillId="0" borderId="0" xfId="0" applyFont="1" applyAlignment="1">
      <alignment horizontal="left" vertical="center"/>
    </xf>
    <xf numFmtId="0" fontId="75" fillId="0" borderId="48" xfId="0" applyFont="1" applyBorder="1" applyAlignment="1">
      <alignment horizontal="center" vertical="center" wrapText="1"/>
    </xf>
    <xf numFmtId="0" fontId="108" fillId="0" borderId="48" xfId="0" applyFont="1" applyBorder="1" applyAlignment="1">
      <alignment horizontal="center" vertical="center" wrapText="1"/>
    </xf>
    <xf numFmtId="0" fontId="108" fillId="0" borderId="49" xfId="0" applyFont="1" applyBorder="1" applyAlignment="1">
      <alignment horizontal="center" vertical="center"/>
    </xf>
    <xf numFmtId="0" fontId="7" fillId="0" borderId="39" xfId="0" applyFont="1" applyBorder="1" applyAlignment="1">
      <alignment horizontal="center" vertical="center" wrapText="1" shrinkToFit="1"/>
    </xf>
    <xf numFmtId="0" fontId="7" fillId="0" borderId="178" xfId="0" applyFont="1" applyBorder="1" applyAlignment="1">
      <alignment horizontal="center" vertical="center" wrapText="1" shrinkToFit="1"/>
    </xf>
    <xf numFmtId="0" fontId="107" fillId="0" borderId="1" xfId="0" applyFont="1" applyBorder="1" applyAlignment="1">
      <alignment horizontal="left" vertical="center" wrapText="1" shrinkToFit="1"/>
    </xf>
    <xf numFmtId="0" fontId="107" fillId="0" borderId="7" xfId="0" applyFont="1" applyBorder="1" applyAlignment="1">
      <alignment horizontal="left" vertical="center" wrapText="1" shrinkToFit="1"/>
    </xf>
    <xf numFmtId="0" fontId="107" fillId="0" borderId="80" xfId="0" applyFont="1" applyBorder="1" applyAlignment="1">
      <alignment horizontal="left" vertical="center" wrapText="1" shrinkToFit="1"/>
    </xf>
    <xf numFmtId="0" fontId="107" fillId="0" borderId="86" xfId="0" applyFont="1" applyBorder="1" applyAlignment="1">
      <alignment horizontal="left" vertical="center" wrapText="1" shrinkToFit="1"/>
    </xf>
    <xf numFmtId="0" fontId="107" fillId="0" borderId="0" xfId="0" applyFont="1" applyAlignment="1">
      <alignment horizontal="left" vertical="center" wrapText="1" shrinkToFit="1"/>
    </xf>
    <xf numFmtId="0" fontId="107" fillId="0" borderId="50" xfId="0" applyFont="1" applyBorder="1" applyAlignment="1">
      <alignment horizontal="left" vertical="center" wrapText="1" shrinkToFit="1"/>
    </xf>
    <xf numFmtId="0" fontId="107" fillId="0" borderId="95" xfId="0" applyFont="1" applyBorder="1" applyAlignment="1">
      <alignment horizontal="left" vertical="center" wrapText="1" shrinkToFit="1"/>
    </xf>
    <xf numFmtId="0" fontId="107" fillId="0" borderId="40" xfId="0" applyFont="1" applyBorder="1" applyAlignment="1">
      <alignment horizontal="left" vertical="center" wrapText="1" shrinkToFit="1"/>
    </xf>
    <xf numFmtId="0" fontId="107" fillId="0" borderId="41" xfId="0" applyFont="1" applyBorder="1" applyAlignment="1">
      <alignment horizontal="left" vertical="center" wrapText="1" shrinkToFit="1"/>
    </xf>
    <xf numFmtId="0" fontId="35" fillId="44" borderId="173" xfId="0" applyFont="1" applyFill="1" applyBorder="1" applyAlignment="1">
      <alignment horizontal="center" vertical="center" shrinkToFit="1"/>
    </xf>
    <xf numFmtId="0" fontId="35" fillId="44" borderId="179" xfId="0" applyFont="1" applyFill="1" applyBorder="1" applyAlignment="1">
      <alignment horizontal="center" vertical="center" shrinkToFit="1"/>
    </xf>
    <xf numFmtId="0" fontId="35" fillId="44" borderId="157" xfId="0" applyFont="1" applyFill="1" applyBorder="1" applyAlignment="1">
      <alignment horizontal="center" vertical="center" shrinkToFit="1"/>
    </xf>
    <xf numFmtId="0" fontId="7" fillId="0" borderId="154" xfId="0" applyFont="1" applyBorder="1" applyAlignment="1">
      <alignment horizontal="center" vertical="center" wrapText="1"/>
    </xf>
    <xf numFmtId="0" fontId="7" fillId="0" borderId="152" xfId="0" applyFont="1" applyBorder="1" applyAlignment="1">
      <alignment horizontal="center" vertical="center"/>
    </xf>
    <xf numFmtId="0" fontId="7" fillId="0" borderId="155" xfId="0" applyFont="1" applyBorder="1" applyAlignment="1">
      <alignment horizontal="center" vertical="center"/>
    </xf>
    <xf numFmtId="0" fontId="7" fillId="0" borderId="152" xfId="0" applyFont="1" applyBorder="1" applyAlignment="1">
      <alignment horizontal="center" vertical="center" wrapText="1"/>
    </xf>
    <xf numFmtId="0" fontId="7" fillId="0" borderId="155" xfId="0" applyFont="1" applyBorder="1" applyAlignment="1">
      <alignment horizontal="center" vertical="center" wrapText="1"/>
    </xf>
    <xf numFmtId="0" fontId="35" fillId="44" borderId="181" xfId="0" applyFont="1" applyFill="1" applyBorder="1" applyAlignment="1">
      <alignment horizontal="center" vertical="center" shrinkToFit="1"/>
    </xf>
    <xf numFmtId="0" fontId="35" fillId="44" borderId="150" xfId="0" applyFont="1" applyFill="1" applyBorder="1" applyAlignment="1">
      <alignment horizontal="center" vertical="center" shrinkToFit="1"/>
    </xf>
    <xf numFmtId="0" fontId="35" fillId="44" borderId="183" xfId="0" applyFont="1" applyFill="1" applyBorder="1" applyAlignment="1">
      <alignment horizontal="center" vertical="center" shrinkToFit="1"/>
    </xf>
    <xf numFmtId="0" fontId="7" fillId="0" borderId="177" xfId="0" applyFont="1" applyBorder="1" applyAlignment="1">
      <alignment horizontal="center" vertical="center" wrapText="1"/>
    </xf>
    <xf numFmtId="0" fontId="7" fillId="0" borderId="182" xfId="0" applyFont="1" applyBorder="1" applyAlignment="1">
      <alignment horizontal="center" vertical="center"/>
    </xf>
    <xf numFmtId="0" fontId="109" fillId="45" borderId="40" xfId="0" applyFont="1" applyFill="1" applyBorder="1" applyAlignment="1">
      <alignment horizontal="center" vertical="center" wrapText="1"/>
    </xf>
    <xf numFmtId="0" fontId="34" fillId="45" borderId="40" xfId="0" applyFont="1" applyFill="1" applyBorder="1" applyAlignment="1">
      <alignment horizontal="center" vertical="center" wrapText="1"/>
    </xf>
    <xf numFmtId="0" fontId="74" fillId="46" borderId="0" xfId="0" applyFont="1" applyFill="1" applyAlignment="1">
      <alignment horizontal="center" vertical="center" wrapText="1"/>
    </xf>
    <xf numFmtId="0" fontId="33" fillId="0" borderId="160" xfId="0" applyFont="1" applyBorder="1" applyAlignment="1">
      <alignment horizontal="center" vertical="center"/>
    </xf>
    <xf numFmtId="0" fontId="33" fillId="0" borderId="38" xfId="0" applyFont="1" applyBorder="1" applyAlignment="1">
      <alignment horizontal="center" vertical="center"/>
    </xf>
    <xf numFmtId="0" fontId="29" fillId="0" borderId="132" xfId="0" applyFont="1" applyBorder="1" applyAlignment="1">
      <alignment horizontal="center" vertical="center" shrinkToFit="1"/>
    </xf>
    <xf numFmtId="0" fontId="29" fillId="0" borderId="11" xfId="0"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0" xfId="0" applyFont="1" applyBorder="1" applyAlignment="1">
      <alignment horizontal="center" vertical="center" shrinkToFit="1"/>
    </xf>
    <xf numFmtId="0" fontId="29" fillId="0" borderId="116" xfId="0" applyFont="1" applyBorder="1" applyAlignment="1">
      <alignment horizontal="center" vertical="center" shrinkToFit="1"/>
    </xf>
    <xf numFmtId="0" fontId="29" fillId="0" borderId="36" xfId="0" applyFont="1" applyBorder="1" applyAlignment="1">
      <alignment horizontal="center" vertical="center" shrinkToFit="1"/>
    </xf>
    <xf numFmtId="0" fontId="29" fillId="0" borderId="158" xfId="0" applyFont="1" applyBorder="1" applyAlignment="1">
      <alignment horizontal="center" vertical="center" shrinkToFit="1"/>
    </xf>
    <xf numFmtId="0" fontId="0" fillId="0" borderId="161" xfId="0" applyBorder="1" applyAlignment="1">
      <alignment horizontal="center" vertical="center"/>
    </xf>
    <xf numFmtId="0" fontId="0" fillId="0" borderId="91" xfId="0" applyBorder="1" applyAlignment="1">
      <alignment horizontal="center" vertical="center"/>
    </xf>
    <xf numFmtId="0" fontId="0" fillId="0" borderId="162" xfId="0" applyBorder="1" applyAlignment="1">
      <alignment horizontal="center" vertical="center"/>
    </xf>
    <xf numFmtId="0" fontId="29" fillId="0" borderId="47" xfId="0" applyFont="1" applyBorder="1" applyAlignment="1">
      <alignment horizontal="center" vertical="center" shrinkToFit="1"/>
    </xf>
    <xf numFmtId="0" fontId="29" fillId="0" borderId="18" xfId="0" applyFont="1" applyBorder="1" applyAlignment="1">
      <alignment horizontal="center" vertical="center" shrinkToFit="1"/>
    </xf>
    <xf numFmtId="0" fontId="33" fillId="0" borderId="159" xfId="0" applyFont="1" applyBorder="1" applyAlignment="1">
      <alignment horizontal="center" vertical="center"/>
    </xf>
    <xf numFmtId="0" fontId="33" fillId="0" borderId="37" xfId="0" applyFont="1" applyBorder="1" applyAlignment="1">
      <alignment horizontal="center" vertical="center"/>
    </xf>
    <xf numFmtId="0" fontId="29" fillId="0" borderId="106" xfId="0" applyFont="1" applyBorder="1" applyAlignment="1">
      <alignment horizontal="center" vertical="center" shrinkToFit="1"/>
    </xf>
    <xf numFmtId="0" fontId="29" fillId="0" borderId="10" xfId="0" applyFont="1" applyBorder="1" applyAlignment="1">
      <alignment horizontal="center" vertical="center" shrinkToFit="1"/>
    </xf>
    <xf numFmtId="0" fontId="29" fillId="0" borderId="37" xfId="0" applyFont="1" applyBorder="1" applyAlignment="1">
      <alignment horizontal="center" vertical="center" shrinkToFit="1"/>
    </xf>
    <xf numFmtId="0" fontId="14" fillId="0" borderId="113" xfId="0" applyFont="1" applyBorder="1" applyAlignment="1">
      <alignment horizontal="center" vertical="center"/>
    </xf>
    <xf numFmtId="0" fontId="14" fillId="0" borderId="32" xfId="0" applyFont="1" applyBorder="1" applyAlignment="1">
      <alignment horizontal="center" vertical="center"/>
    </xf>
    <xf numFmtId="0" fontId="0" fillId="0" borderId="14" xfId="0" applyBorder="1" applyAlignment="1">
      <alignment horizontal="center" vertical="center"/>
    </xf>
    <xf numFmtId="0" fontId="32" fillId="0" borderId="116" xfId="0" applyFont="1" applyBorder="1" applyAlignment="1">
      <alignment horizontal="center" vertical="center" shrinkToFit="1"/>
    </xf>
    <xf numFmtId="0" fontId="32" fillId="0" borderId="30" xfId="0" applyFont="1" applyBorder="1" applyAlignment="1">
      <alignment horizontal="center" vertical="center" shrinkToFit="1"/>
    </xf>
    <xf numFmtId="0" fontId="32" fillId="0" borderId="36" xfId="0" applyFont="1" applyBorder="1" applyAlignment="1">
      <alignment horizontal="center" vertical="center" shrinkToFit="1"/>
    </xf>
    <xf numFmtId="0" fontId="14" fillId="0" borderId="70" xfId="0" applyFont="1" applyBorder="1" applyAlignment="1">
      <alignment horizontal="center" vertical="center"/>
    </xf>
    <xf numFmtId="0" fontId="14" fillId="0" borderId="71" xfId="0" applyFont="1" applyBorder="1" applyAlignment="1">
      <alignment horizontal="center" vertical="center"/>
    </xf>
    <xf numFmtId="0" fontId="14" fillId="0" borderId="74" xfId="0" applyFont="1" applyBorder="1" applyAlignment="1">
      <alignment horizontal="center" vertical="center"/>
    </xf>
    <xf numFmtId="0" fontId="14" fillId="0" borderId="76" xfId="0" applyFont="1" applyBorder="1" applyAlignment="1">
      <alignment horizontal="center" vertical="center"/>
    </xf>
    <xf numFmtId="0" fontId="14" fillId="0" borderId="31" xfId="0" applyFont="1" applyBorder="1" applyAlignment="1">
      <alignment horizontal="center" vertical="center"/>
    </xf>
    <xf numFmtId="0" fontId="29" fillId="0" borderId="108" xfId="0" applyFont="1" applyBorder="1" applyAlignment="1">
      <alignment horizontal="center" vertical="center" shrinkToFit="1"/>
    </xf>
    <xf numFmtId="0" fontId="29" fillId="0" borderId="134" xfId="0" applyFont="1" applyBorder="1" applyAlignment="1">
      <alignment horizontal="center" vertical="center" shrinkToFit="1"/>
    </xf>
    <xf numFmtId="0" fontId="7" fillId="0" borderId="35" xfId="0" applyFont="1" applyBorder="1" applyAlignment="1">
      <alignment horizontal="center" vertical="center" shrinkToFit="1"/>
    </xf>
    <xf numFmtId="0" fontId="7" fillId="0" borderId="36" xfId="0" applyFont="1" applyBorder="1" applyAlignment="1">
      <alignment horizontal="center" vertical="center" shrinkToFit="1"/>
    </xf>
    <xf numFmtId="0" fontId="7" fillId="0" borderId="106" xfId="0" applyFont="1" applyBorder="1" applyAlignment="1">
      <alignment horizontal="center" vertical="center" shrinkToFit="1"/>
    </xf>
    <xf numFmtId="0" fontId="7" fillId="0" borderId="10" xfId="0" applyFont="1" applyBorder="1" applyAlignment="1">
      <alignment horizontal="center" vertical="center" shrinkToFit="1"/>
    </xf>
    <xf numFmtId="0" fontId="7" fillId="0" borderId="108" xfId="0" applyFont="1" applyBorder="1" applyAlignment="1">
      <alignment horizontal="center" vertical="center" shrinkToFit="1"/>
    </xf>
    <xf numFmtId="0" fontId="7" fillId="0" borderId="132" xfId="0" applyFont="1" applyBorder="1" applyAlignment="1">
      <alignment horizontal="center" vertical="center" shrinkToFit="1"/>
    </xf>
    <xf numFmtId="0" fontId="7" fillId="0" borderId="11" xfId="0" applyFont="1" applyBorder="1" applyAlignment="1">
      <alignment horizontal="center" vertical="center" shrinkToFit="1"/>
    </xf>
    <xf numFmtId="0" fontId="7" fillId="0" borderId="134" xfId="0" applyFont="1" applyBorder="1" applyAlignment="1">
      <alignment horizontal="center" vertical="center" shrinkToFit="1"/>
    </xf>
    <xf numFmtId="0" fontId="7" fillId="0" borderId="116" xfId="0" applyFont="1" applyBorder="1" applyAlignment="1">
      <alignment horizontal="center" vertical="center" shrinkToFit="1"/>
    </xf>
    <xf numFmtId="0" fontId="7" fillId="0" borderId="30" xfId="0" applyFont="1" applyBorder="1" applyAlignment="1">
      <alignment horizontal="center" vertical="center" shrinkToFit="1"/>
    </xf>
    <xf numFmtId="0" fontId="7" fillId="0" borderId="117" xfId="0" applyFont="1" applyBorder="1" applyAlignment="1">
      <alignment horizontal="center" vertical="center" shrinkToFit="1"/>
    </xf>
  </cellXfs>
  <cellStyles count="49">
    <cellStyle name="20% - アクセント 1" xfId="1" builtinId="30" customBuiltin="1"/>
    <cellStyle name="20% - アクセント 2" xfId="2" builtinId="34" customBuiltin="1"/>
    <cellStyle name="20% - アクセント 3" xfId="3" builtinId="38" customBuiltin="1"/>
    <cellStyle name="20% - アクセント 4" xfId="4" builtinId="42" customBuiltin="1"/>
    <cellStyle name="20% - アクセント 5" xfId="5" builtinId="46" customBuiltin="1"/>
    <cellStyle name="20% - アクセント 6" xfId="6" builtinId="50" customBuiltin="1"/>
    <cellStyle name="40% - アクセント 1" xfId="7" builtinId="31" customBuiltin="1"/>
    <cellStyle name="40% - アクセント 2" xfId="8" builtinId="35" customBuiltin="1"/>
    <cellStyle name="40% - アクセント 3" xfId="9" builtinId="39" customBuiltin="1"/>
    <cellStyle name="40% - アクセント 4" xfId="10" builtinId="43" customBuiltin="1"/>
    <cellStyle name="40% - アクセント 5" xfId="11" builtinId="47" customBuiltin="1"/>
    <cellStyle name="40% - アクセント 6" xfId="12" builtinId="51" customBuiltin="1"/>
    <cellStyle name="60% - アクセント 1" xfId="13" builtinId="32" customBuiltin="1"/>
    <cellStyle name="60% - アクセント 2" xfId="14" builtinId="36" customBuiltin="1"/>
    <cellStyle name="60% - アクセント 3" xfId="15" builtinId="40" customBuiltin="1"/>
    <cellStyle name="60% - アクセント 4" xfId="16" builtinId="44" customBuiltin="1"/>
    <cellStyle name="60% - アクセント 5" xfId="17" builtinId="48" customBuiltin="1"/>
    <cellStyle name="60% - アクセント 6" xfId="18" builtinId="52" customBuiltin="1"/>
    <cellStyle name="アクセント 1" xfId="19" builtinId="29" customBuiltin="1"/>
    <cellStyle name="アクセント 2" xfId="20" builtinId="33" customBuiltin="1"/>
    <cellStyle name="アクセント 3" xfId="21" builtinId="37" customBuiltin="1"/>
    <cellStyle name="アクセント 4" xfId="22" builtinId="41" customBuiltin="1"/>
    <cellStyle name="アクセント 5" xfId="23" builtinId="45" customBuiltin="1"/>
    <cellStyle name="アクセント 6" xfId="24" builtinId="49" customBuiltin="1"/>
    <cellStyle name="タイトル" xfId="25" builtinId="15" customBuiltin="1"/>
    <cellStyle name="チェック セル" xfId="26" builtinId="23" customBuiltin="1"/>
    <cellStyle name="どちらでもない" xfId="27" builtinId="28" customBuiltin="1"/>
    <cellStyle name="メモ" xfId="28" builtinId="10" customBuiltin="1"/>
    <cellStyle name="リンク セル" xfId="29" builtinId="24" customBuiltin="1"/>
    <cellStyle name="悪い" xfId="30" builtinId="27" customBuiltin="1"/>
    <cellStyle name="計算" xfId="31" builtinId="22" customBuiltin="1"/>
    <cellStyle name="警告文" xfId="32" builtinId="11" customBuiltin="1"/>
    <cellStyle name="桁区切り" xfId="33" builtinId="6"/>
    <cellStyle name="見出し 1" xfId="34" builtinId="16" customBuiltin="1"/>
    <cellStyle name="見出し 2" xfId="35" builtinId="17" customBuiltin="1"/>
    <cellStyle name="見出し 3" xfId="36" builtinId="18" customBuiltin="1"/>
    <cellStyle name="見出し 4" xfId="37" builtinId="19" customBuiltin="1"/>
    <cellStyle name="集計" xfId="38" builtinId="25" customBuiltin="1"/>
    <cellStyle name="出力" xfId="39" builtinId="21" customBuiltin="1"/>
    <cellStyle name="説明文" xfId="40" builtinId="53" customBuiltin="1"/>
    <cellStyle name="入力" xfId="41" builtinId="20" customBuiltin="1"/>
    <cellStyle name="標準" xfId="0" builtinId="0"/>
    <cellStyle name="標準 2" xfId="42" xr:uid="{00000000-0005-0000-0000-00002A000000}"/>
    <cellStyle name="標準 3" xfId="43" xr:uid="{00000000-0005-0000-0000-00002B000000}"/>
    <cellStyle name="標準 4" xfId="44" xr:uid="{00000000-0005-0000-0000-00002C000000}"/>
    <cellStyle name="標準 5" xfId="45" xr:uid="{00000000-0005-0000-0000-00002D000000}"/>
    <cellStyle name="標準 6" xfId="46" xr:uid="{00000000-0005-0000-0000-00002E000000}"/>
    <cellStyle name="標準 7" xfId="47" xr:uid="{00000000-0005-0000-0000-00002F000000}"/>
    <cellStyle name="良い" xfId="48" builtinId="26"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1</xdr:col>
      <xdr:colOff>38100</xdr:colOff>
      <xdr:row>4</xdr:row>
      <xdr:rowOff>38100</xdr:rowOff>
    </xdr:from>
    <xdr:to>
      <xdr:col>5</xdr:col>
      <xdr:colOff>133350</xdr:colOff>
      <xdr:row>5</xdr:row>
      <xdr:rowOff>228600</xdr:rowOff>
    </xdr:to>
    <xdr:sp macro="" textlink="">
      <xdr:nvSpPr>
        <xdr:cNvPr id="95253" name="Oval 2">
          <a:extLst>
            <a:ext uri="{FF2B5EF4-FFF2-40B4-BE49-F238E27FC236}">
              <a16:creationId xmlns:a16="http://schemas.microsoft.com/office/drawing/2014/main" id="{00000000-0008-0000-0000-000015740100}"/>
            </a:ext>
          </a:extLst>
        </xdr:cNvPr>
        <xdr:cNvSpPr>
          <a:spLocks noChangeArrowheads="1"/>
        </xdr:cNvSpPr>
      </xdr:nvSpPr>
      <xdr:spPr bwMode="auto">
        <a:xfrm>
          <a:off x="76200" y="1143000"/>
          <a:ext cx="971550" cy="247650"/>
        </a:xfrm>
        <a:prstGeom prst="ellipse">
          <a:avLst/>
        </a:prstGeom>
        <a:noFill/>
        <a:ln w="25400">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6</xdr:col>
      <xdr:colOff>219075</xdr:colOff>
      <xdr:row>11</xdr:row>
      <xdr:rowOff>57150</xdr:rowOff>
    </xdr:from>
    <xdr:to>
      <xdr:col>9</xdr:col>
      <xdr:colOff>123825</xdr:colOff>
      <xdr:row>13</xdr:row>
      <xdr:rowOff>0</xdr:rowOff>
    </xdr:to>
    <xdr:sp macro="" textlink="">
      <xdr:nvSpPr>
        <xdr:cNvPr id="3" name="角丸四角形 2">
          <a:extLst>
            <a:ext uri="{FF2B5EF4-FFF2-40B4-BE49-F238E27FC236}">
              <a16:creationId xmlns:a16="http://schemas.microsoft.com/office/drawing/2014/main" id="{00000000-0008-0000-0000-000003000000}"/>
            </a:ext>
          </a:extLst>
        </xdr:cNvPr>
        <xdr:cNvSpPr/>
      </xdr:nvSpPr>
      <xdr:spPr>
        <a:xfrm>
          <a:off x="1295400" y="2552700"/>
          <a:ext cx="552450" cy="247650"/>
        </a:xfrm>
        <a:prstGeom prst="roundRect">
          <a:avLst/>
        </a:prstGeom>
        <a:noFill/>
        <a:ln w="34925" cmpd="sng">
          <a:solidFill>
            <a:srgbClr val="C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endParaRPr lang="ja-JP" altLang="en-US"/>
        </a:p>
      </xdr:txBody>
    </xdr:sp>
    <xdr:clientData/>
  </xdr:twoCellAnchor>
  <xdr:twoCellAnchor>
    <xdr:from>
      <xdr:col>35</xdr:col>
      <xdr:colOff>123825</xdr:colOff>
      <xdr:row>33</xdr:row>
      <xdr:rowOff>228600</xdr:rowOff>
    </xdr:from>
    <xdr:to>
      <xdr:col>42</xdr:col>
      <xdr:colOff>390526</xdr:colOff>
      <xdr:row>36</xdr:row>
      <xdr:rowOff>114300</xdr:rowOff>
    </xdr:to>
    <xdr:sp macro="" textlink="">
      <xdr:nvSpPr>
        <xdr:cNvPr id="4" name="テキスト ボックス 3">
          <a:extLst>
            <a:ext uri="{FF2B5EF4-FFF2-40B4-BE49-F238E27FC236}">
              <a16:creationId xmlns:a16="http://schemas.microsoft.com/office/drawing/2014/main" id="{00000000-0008-0000-0000-000004000000}"/>
            </a:ext>
          </a:extLst>
        </xdr:cNvPr>
        <xdr:cNvSpPr txBox="1"/>
      </xdr:nvSpPr>
      <xdr:spPr>
        <a:xfrm>
          <a:off x="7581900" y="7943850"/>
          <a:ext cx="5305426" cy="628650"/>
        </a:xfrm>
        <a:prstGeom prst="rect">
          <a:avLst/>
        </a:prstGeom>
        <a:solidFill>
          <a:schemeClr val="lt1"/>
        </a:solidFill>
        <a:ln w="57150"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lvl="0"/>
          <a:r>
            <a:rPr kumimoji="1" lang="ja-JP" altLang="en-US" sz="1600"/>
            <a:t>　キープ済物件です。変更＆追加お願いします。</a:t>
          </a:r>
          <a:endParaRPr kumimoji="1" lang="en-US" altLang="ja-JP" sz="20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38100</xdr:colOff>
      <xdr:row>4</xdr:row>
      <xdr:rowOff>38100</xdr:rowOff>
    </xdr:from>
    <xdr:to>
      <xdr:col>5</xdr:col>
      <xdr:colOff>133350</xdr:colOff>
      <xdr:row>5</xdr:row>
      <xdr:rowOff>228600</xdr:rowOff>
    </xdr:to>
    <xdr:sp macro="" textlink="">
      <xdr:nvSpPr>
        <xdr:cNvPr id="96270" name="Oval 2">
          <a:extLst>
            <a:ext uri="{FF2B5EF4-FFF2-40B4-BE49-F238E27FC236}">
              <a16:creationId xmlns:a16="http://schemas.microsoft.com/office/drawing/2014/main" id="{00000000-0008-0000-0100-00000E780100}"/>
            </a:ext>
          </a:extLst>
        </xdr:cNvPr>
        <xdr:cNvSpPr>
          <a:spLocks noChangeArrowheads="1"/>
        </xdr:cNvSpPr>
      </xdr:nvSpPr>
      <xdr:spPr bwMode="auto">
        <a:xfrm>
          <a:off x="76200" y="1143000"/>
          <a:ext cx="971550" cy="247650"/>
        </a:xfrm>
        <a:prstGeom prst="ellipse">
          <a:avLst/>
        </a:prstGeom>
        <a:noFill/>
        <a:ln w="25400">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6</xdr:col>
      <xdr:colOff>219075</xdr:colOff>
      <xdr:row>11</xdr:row>
      <xdr:rowOff>57150</xdr:rowOff>
    </xdr:from>
    <xdr:to>
      <xdr:col>9</xdr:col>
      <xdr:colOff>123825</xdr:colOff>
      <xdr:row>13</xdr:row>
      <xdr:rowOff>0</xdr:rowOff>
    </xdr:to>
    <xdr:sp macro="" textlink="">
      <xdr:nvSpPr>
        <xdr:cNvPr id="3" name="角丸四角形 2">
          <a:extLst>
            <a:ext uri="{FF2B5EF4-FFF2-40B4-BE49-F238E27FC236}">
              <a16:creationId xmlns:a16="http://schemas.microsoft.com/office/drawing/2014/main" id="{00000000-0008-0000-0100-000003000000}"/>
            </a:ext>
          </a:extLst>
        </xdr:cNvPr>
        <xdr:cNvSpPr/>
      </xdr:nvSpPr>
      <xdr:spPr>
        <a:xfrm>
          <a:off x="1295400" y="2552700"/>
          <a:ext cx="552450" cy="247650"/>
        </a:xfrm>
        <a:prstGeom prst="roundRect">
          <a:avLst/>
        </a:prstGeom>
        <a:noFill/>
        <a:ln w="34925" cmpd="sng">
          <a:solidFill>
            <a:srgbClr val="C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endParaRPr lang="ja-JP" altLang="en-US"/>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19050</xdr:colOff>
      <xdr:row>3</xdr:row>
      <xdr:rowOff>38100</xdr:rowOff>
    </xdr:from>
    <xdr:to>
      <xdr:col>5</xdr:col>
      <xdr:colOff>114300</xdr:colOff>
      <xdr:row>3</xdr:row>
      <xdr:rowOff>304800</xdr:rowOff>
    </xdr:to>
    <xdr:sp macro="" textlink="">
      <xdr:nvSpPr>
        <xdr:cNvPr id="6137" name="Oval 2">
          <a:extLst>
            <a:ext uri="{FF2B5EF4-FFF2-40B4-BE49-F238E27FC236}">
              <a16:creationId xmlns:a16="http://schemas.microsoft.com/office/drawing/2014/main" id="{00000000-0008-0000-0200-0000F9170000}"/>
            </a:ext>
          </a:extLst>
        </xdr:cNvPr>
        <xdr:cNvSpPr>
          <a:spLocks noChangeArrowheads="1"/>
        </xdr:cNvSpPr>
      </xdr:nvSpPr>
      <xdr:spPr bwMode="auto">
        <a:xfrm>
          <a:off x="57150" y="914400"/>
          <a:ext cx="971550" cy="266700"/>
        </a:xfrm>
        <a:prstGeom prst="ellipse">
          <a:avLst/>
        </a:prstGeom>
        <a:noFill/>
        <a:ln w="25400">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9525</xdr:colOff>
      <xdr:row>3</xdr:row>
      <xdr:rowOff>28575</xdr:rowOff>
    </xdr:from>
    <xdr:to>
      <xdr:col>5</xdr:col>
      <xdr:colOff>104775</xdr:colOff>
      <xdr:row>3</xdr:row>
      <xdr:rowOff>295275</xdr:rowOff>
    </xdr:to>
    <xdr:sp macro="" textlink="">
      <xdr:nvSpPr>
        <xdr:cNvPr id="97364" name="Oval 2">
          <a:extLst>
            <a:ext uri="{FF2B5EF4-FFF2-40B4-BE49-F238E27FC236}">
              <a16:creationId xmlns:a16="http://schemas.microsoft.com/office/drawing/2014/main" id="{00000000-0008-0000-0300-0000547C0100}"/>
            </a:ext>
          </a:extLst>
        </xdr:cNvPr>
        <xdr:cNvSpPr>
          <a:spLocks noChangeArrowheads="1"/>
        </xdr:cNvSpPr>
      </xdr:nvSpPr>
      <xdr:spPr bwMode="auto">
        <a:xfrm>
          <a:off x="47625" y="885825"/>
          <a:ext cx="971550" cy="266700"/>
        </a:xfrm>
        <a:prstGeom prst="ellipse">
          <a:avLst/>
        </a:prstGeom>
        <a:noFill/>
        <a:ln w="25400">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15</xdr:col>
      <xdr:colOff>9525</xdr:colOff>
      <xdr:row>17</xdr:row>
      <xdr:rowOff>19050</xdr:rowOff>
    </xdr:from>
    <xdr:to>
      <xdr:col>19</xdr:col>
      <xdr:colOff>247650</xdr:colOff>
      <xdr:row>18</xdr:row>
      <xdr:rowOff>9525</xdr:rowOff>
    </xdr:to>
    <xdr:sp macro="" textlink="">
      <xdr:nvSpPr>
        <xdr:cNvPr id="3" name="角丸四角形 2">
          <a:extLst>
            <a:ext uri="{FF2B5EF4-FFF2-40B4-BE49-F238E27FC236}">
              <a16:creationId xmlns:a16="http://schemas.microsoft.com/office/drawing/2014/main" id="{00000000-0008-0000-0300-000003000000}"/>
            </a:ext>
          </a:extLst>
        </xdr:cNvPr>
        <xdr:cNvSpPr/>
      </xdr:nvSpPr>
      <xdr:spPr>
        <a:xfrm>
          <a:off x="3219450" y="5038725"/>
          <a:ext cx="1504950" cy="209550"/>
        </a:xfrm>
        <a:prstGeom prst="roundRect">
          <a:avLst/>
        </a:prstGeom>
        <a:noFill/>
        <a:ln w="34925" cmpd="sng">
          <a:solidFill>
            <a:srgbClr val="C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endParaRPr lang="ja-JP" altLang="en-US"/>
        </a:p>
      </xdr:txBody>
    </xdr:sp>
    <xdr:clientData/>
  </xdr:twoCellAnchor>
  <xdr:twoCellAnchor>
    <xdr:from>
      <xdr:col>32</xdr:col>
      <xdr:colOff>0</xdr:colOff>
      <xdr:row>11</xdr:row>
      <xdr:rowOff>28575</xdr:rowOff>
    </xdr:from>
    <xdr:to>
      <xdr:col>32</xdr:col>
      <xdr:colOff>552450</xdr:colOff>
      <xdr:row>12</xdr:row>
      <xdr:rowOff>200025</xdr:rowOff>
    </xdr:to>
    <xdr:sp macro="" textlink="">
      <xdr:nvSpPr>
        <xdr:cNvPr id="4" name="角丸四角形 3">
          <a:extLst>
            <a:ext uri="{FF2B5EF4-FFF2-40B4-BE49-F238E27FC236}">
              <a16:creationId xmlns:a16="http://schemas.microsoft.com/office/drawing/2014/main" id="{00000000-0008-0000-0300-000004000000}"/>
            </a:ext>
          </a:extLst>
        </xdr:cNvPr>
        <xdr:cNvSpPr/>
      </xdr:nvSpPr>
      <xdr:spPr>
        <a:xfrm>
          <a:off x="7448550" y="2743200"/>
          <a:ext cx="552450" cy="247650"/>
        </a:xfrm>
        <a:prstGeom prst="roundRect">
          <a:avLst/>
        </a:prstGeom>
        <a:noFill/>
        <a:ln w="34925" cmpd="sng">
          <a:solidFill>
            <a:srgbClr val="C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endParaRPr lang="ja-JP" altLang="en-US"/>
        </a:p>
      </xdr:txBody>
    </xdr:sp>
    <xdr:clientData/>
  </xdr:twoCellAnchor>
  <xdr:twoCellAnchor>
    <xdr:from>
      <xdr:col>7</xdr:col>
      <xdr:colOff>19050</xdr:colOff>
      <xdr:row>12</xdr:row>
      <xdr:rowOff>209549</xdr:rowOff>
    </xdr:from>
    <xdr:to>
      <xdr:col>11</xdr:col>
      <xdr:colOff>285750</xdr:colOff>
      <xdr:row>14</xdr:row>
      <xdr:rowOff>9524</xdr:rowOff>
    </xdr:to>
    <xdr:sp macro="" textlink="">
      <xdr:nvSpPr>
        <xdr:cNvPr id="5" name="角丸四角形 4">
          <a:extLst>
            <a:ext uri="{FF2B5EF4-FFF2-40B4-BE49-F238E27FC236}">
              <a16:creationId xmlns:a16="http://schemas.microsoft.com/office/drawing/2014/main" id="{00000000-0008-0000-0300-000005000000}"/>
            </a:ext>
          </a:extLst>
        </xdr:cNvPr>
        <xdr:cNvSpPr/>
      </xdr:nvSpPr>
      <xdr:spPr>
        <a:xfrm>
          <a:off x="1323975" y="2943224"/>
          <a:ext cx="1181100" cy="238125"/>
        </a:xfrm>
        <a:prstGeom prst="roundRect">
          <a:avLst/>
        </a:prstGeom>
        <a:noFill/>
        <a:ln w="34925" cmpd="sng">
          <a:solidFill>
            <a:srgbClr val="C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endParaRPr lang="ja-JP" altLang="en-US"/>
        </a:p>
      </xdr:txBody>
    </xdr:sp>
    <xdr:clientData/>
  </xdr:twoCellAnchor>
  <xdr:twoCellAnchor>
    <xdr:from>
      <xdr:col>32</xdr:col>
      <xdr:colOff>314325</xdr:colOff>
      <xdr:row>18</xdr:row>
      <xdr:rowOff>85725</xdr:rowOff>
    </xdr:from>
    <xdr:to>
      <xdr:col>39</xdr:col>
      <xdr:colOff>1352550</xdr:colOff>
      <xdr:row>27</xdr:row>
      <xdr:rowOff>104775</xdr:rowOff>
    </xdr:to>
    <xdr:sp macro="" textlink="">
      <xdr:nvSpPr>
        <xdr:cNvPr id="6" name="テキスト ボックス 5">
          <a:extLst>
            <a:ext uri="{FF2B5EF4-FFF2-40B4-BE49-F238E27FC236}">
              <a16:creationId xmlns:a16="http://schemas.microsoft.com/office/drawing/2014/main" id="{00000000-0008-0000-0300-000006000000}"/>
            </a:ext>
          </a:extLst>
        </xdr:cNvPr>
        <xdr:cNvSpPr txBox="1"/>
      </xdr:nvSpPr>
      <xdr:spPr>
        <a:xfrm>
          <a:off x="7762875" y="5476875"/>
          <a:ext cx="5514975" cy="2247900"/>
        </a:xfrm>
        <a:prstGeom prst="rect">
          <a:avLst/>
        </a:prstGeom>
        <a:solidFill>
          <a:schemeClr val="lt1"/>
        </a:solidFill>
        <a:ln w="57150"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lvl="0"/>
          <a:r>
            <a:rPr kumimoji="1" lang="ja-JP" altLang="en-US" sz="1600"/>
            <a:t>　　</a:t>
          </a:r>
          <a:r>
            <a:rPr kumimoji="1" lang="en-US" altLang="ja-JP" sz="1800"/>
            <a:t>7</a:t>
          </a:r>
          <a:r>
            <a:rPr kumimoji="1" lang="ja-JP" altLang="en-US" sz="1800"/>
            <a:t>／</a:t>
          </a:r>
          <a:r>
            <a:rPr kumimoji="1" lang="en-US" altLang="ja-JP" sz="1800"/>
            <a:t>11</a:t>
          </a:r>
          <a:r>
            <a:rPr kumimoji="1" lang="ja-JP" altLang="en-US" sz="1800"/>
            <a:t>（金）入荷予定分よりお願いします。</a:t>
          </a:r>
          <a:endParaRPr kumimoji="1" lang="en-US" altLang="ja-JP" sz="1800"/>
        </a:p>
        <a:p>
          <a:pPr lvl="0"/>
          <a:r>
            <a:rPr kumimoji="1" lang="ja-JP" altLang="en-US" sz="1800"/>
            <a:t>  　早まる分には大丈夫ですので、入荷次第の</a:t>
          </a:r>
          <a:endParaRPr kumimoji="1" lang="en-US" altLang="ja-JP" sz="1800" baseline="0"/>
        </a:p>
        <a:p>
          <a:pPr lvl="0">
            <a:lnSpc>
              <a:spcPts val="2200"/>
            </a:lnSpc>
          </a:pPr>
          <a:r>
            <a:rPr kumimoji="1" lang="ja-JP" altLang="en-US" sz="1800"/>
            <a:t>  　最短出荷にて、よろしくお願い致します。</a:t>
          </a:r>
          <a:endParaRPr kumimoji="1" lang="en-US" altLang="ja-JP" sz="1800"/>
        </a:p>
        <a:p>
          <a:pPr lvl="0">
            <a:lnSpc>
              <a:spcPts val="2200"/>
            </a:lnSpc>
          </a:pPr>
          <a:endParaRPr kumimoji="1" lang="en-US" altLang="ja-JP" sz="1800"/>
        </a:p>
        <a:p>
          <a:pPr lvl="0">
            <a:lnSpc>
              <a:spcPts val="2200"/>
            </a:lnSpc>
          </a:pPr>
          <a:r>
            <a:rPr kumimoji="1" lang="ja-JP" altLang="en-US" sz="1800"/>
            <a:t>　　</a:t>
          </a:r>
          <a:r>
            <a:rPr kumimoji="1" lang="en-US" altLang="ja-JP" sz="1800"/>
            <a:t>※</a:t>
          </a:r>
          <a:r>
            <a:rPr kumimoji="1" lang="ja-JP" altLang="en-US" sz="1800"/>
            <a:t>遅れる場合は、お手数ですがご連絡下さい。</a:t>
          </a:r>
          <a:endParaRPr kumimoji="1" lang="en-US" altLang="ja-JP" sz="1800"/>
        </a:p>
      </xdr:txBody>
    </xdr:sp>
    <xdr:clientData/>
  </xdr:twoCellAnchor>
  <xdr:twoCellAnchor>
    <xdr:from>
      <xdr:col>4</xdr:col>
      <xdr:colOff>47625</xdr:colOff>
      <xdr:row>45</xdr:row>
      <xdr:rowOff>0</xdr:rowOff>
    </xdr:from>
    <xdr:to>
      <xdr:col>24</xdr:col>
      <xdr:colOff>190499</xdr:colOff>
      <xdr:row>50</xdr:row>
      <xdr:rowOff>66675</xdr:rowOff>
    </xdr:to>
    <xdr:sp macro="" textlink="">
      <xdr:nvSpPr>
        <xdr:cNvPr id="8" name="テキスト ボックス 7">
          <a:extLst>
            <a:ext uri="{FF2B5EF4-FFF2-40B4-BE49-F238E27FC236}">
              <a16:creationId xmlns:a16="http://schemas.microsoft.com/office/drawing/2014/main" id="{00000000-0008-0000-0300-000008000000}"/>
            </a:ext>
          </a:extLst>
        </xdr:cNvPr>
        <xdr:cNvSpPr txBox="1"/>
      </xdr:nvSpPr>
      <xdr:spPr>
        <a:xfrm>
          <a:off x="581025" y="11296650"/>
          <a:ext cx="5562599" cy="923925"/>
        </a:xfrm>
        <a:prstGeom prst="rect">
          <a:avLst/>
        </a:prstGeom>
        <a:solidFill>
          <a:schemeClr val="lt1"/>
        </a:solidFill>
        <a:ln w="57150"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lvl="0">
            <a:lnSpc>
              <a:spcPts val="2000"/>
            </a:lnSpc>
          </a:pPr>
          <a:r>
            <a:rPr kumimoji="1" lang="ja-JP" altLang="en-US" sz="1600" u="none"/>
            <a:t>　　在庫未確認ですが、種類が多いので、</a:t>
          </a:r>
          <a:r>
            <a:rPr kumimoji="1" lang="en-US" altLang="ja-JP" sz="1600" u="none"/>
            <a:t>FAX</a:t>
          </a:r>
          <a:r>
            <a:rPr kumimoji="1" lang="ja-JP" altLang="en-US" sz="1600" u="none"/>
            <a:t>致します。</a:t>
          </a:r>
          <a:endParaRPr kumimoji="1" lang="en-US" altLang="ja-JP" sz="1600" b="0" u="none">
            <a:effectLst/>
            <a:latin typeface="ＭＳ Ｐゴシック" panose="020B0600070205080204" pitchFamily="50" charset="-128"/>
            <a:ea typeface="ＭＳ Ｐゴシック" panose="020B0600070205080204" pitchFamily="50" charset="-128"/>
          </a:endParaRPr>
        </a:p>
        <a:p>
          <a:pPr lvl="0">
            <a:lnSpc>
              <a:spcPts val="1900"/>
            </a:lnSpc>
          </a:pPr>
          <a:r>
            <a:rPr kumimoji="1" lang="ja-JP" altLang="en-US" sz="1600" b="0" u="none">
              <a:effectLst/>
              <a:latin typeface="ＭＳ Ｐゴシック" panose="020B0600070205080204" pitchFamily="50" charset="-128"/>
              <a:ea typeface="ＭＳ Ｐゴシック" panose="020B0600070205080204" pitchFamily="50" charset="-128"/>
            </a:rPr>
            <a:t>　　お手数ですが、確認のうえご連絡お願い致します。</a:t>
          </a:r>
          <a:endParaRPr kumimoji="1" lang="en-US" altLang="ja-JP" sz="1600" b="0" u="none">
            <a:effectLst/>
            <a:latin typeface="ＭＳ Ｐゴシック" panose="020B0600070205080204" pitchFamily="50" charset="-128"/>
            <a:ea typeface="ＭＳ Ｐゴシック" panose="020B0600070205080204" pitchFamily="50" charset="-128"/>
          </a:endParaRPr>
        </a:p>
      </xdr:txBody>
    </xdr:sp>
    <xdr:clientData/>
  </xdr:twoCellAnchor>
  <xdr:twoCellAnchor>
    <xdr:from>
      <xdr:col>32</xdr:col>
      <xdr:colOff>466725</xdr:colOff>
      <xdr:row>21</xdr:row>
      <xdr:rowOff>9525</xdr:rowOff>
    </xdr:from>
    <xdr:to>
      <xdr:col>39</xdr:col>
      <xdr:colOff>1323975</xdr:colOff>
      <xdr:row>29</xdr:row>
      <xdr:rowOff>190500</xdr:rowOff>
    </xdr:to>
    <xdr:sp macro="" textlink="">
      <xdr:nvSpPr>
        <xdr:cNvPr id="9" name="テキスト ボックス 8">
          <a:extLst>
            <a:ext uri="{FF2B5EF4-FFF2-40B4-BE49-F238E27FC236}">
              <a16:creationId xmlns:a16="http://schemas.microsoft.com/office/drawing/2014/main" id="{00000000-0008-0000-0300-000009000000}"/>
            </a:ext>
          </a:extLst>
        </xdr:cNvPr>
        <xdr:cNvSpPr txBox="1"/>
      </xdr:nvSpPr>
      <xdr:spPr>
        <a:xfrm>
          <a:off x="7915275" y="6076950"/>
          <a:ext cx="5334000" cy="2038350"/>
        </a:xfrm>
        <a:prstGeom prst="rect">
          <a:avLst/>
        </a:prstGeom>
        <a:solidFill>
          <a:schemeClr val="lt1"/>
        </a:solidFill>
        <a:ln w="57150"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lvl="0"/>
          <a:r>
            <a:rPr kumimoji="1" lang="ja-JP" altLang="en-US" sz="1600"/>
            <a:t>　　先ほど電話で問い合わせさせていただいた件です。</a:t>
          </a:r>
          <a:endParaRPr kumimoji="1" lang="en-US" altLang="ja-JP" sz="1600"/>
        </a:p>
        <a:p>
          <a:pPr lvl="0"/>
          <a:r>
            <a:rPr kumimoji="1" lang="ja-JP" altLang="en-US" sz="1600"/>
            <a:t>　　実在庫の確認が必要とのことですので、</a:t>
          </a:r>
          <a:endParaRPr kumimoji="1" lang="en-US" altLang="ja-JP" sz="1600"/>
        </a:p>
        <a:p>
          <a:pPr lvl="0"/>
          <a:r>
            <a:rPr kumimoji="1" lang="ja-JP" altLang="en-US" sz="1600"/>
            <a:t>　　確認できましたら、有無をお電話でお知らせ下さい。</a:t>
          </a:r>
          <a:endParaRPr kumimoji="1" lang="en-US" altLang="ja-JP" sz="1600"/>
        </a:p>
        <a:p>
          <a:pPr lvl="0"/>
          <a:r>
            <a:rPr kumimoji="1" lang="ja-JP" altLang="en-US" sz="1600"/>
            <a:t>　　お手数ですが、何卒よろしくお願い致します。</a:t>
          </a:r>
          <a:endParaRPr kumimoji="1" lang="en-US" altLang="ja-JP" sz="1600"/>
        </a:p>
      </xdr:txBody>
    </xdr:sp>
    <xdr:clientData/>
  </xdr:twoCellAnchor>
  <xdr:twoCellAnchor>
    <xdr:from>
      <xdr:col>32</xdr:col>
      <xdr:colOff>171451</xdr:colOff>
      <xdr:row>36</xdr:row>
      <xdr:rowOff>9525</xdr:rowOff>
    </xdr:from>
    <xdr:to>
      <xdr:col>39</xdr:col>
      <xdr:colOff>933451</xdr:colOff>
      <xdr:row>43</xdr:row>
      <xdr:rowOff>104776</xdr:rowOff>
    </xdr:to>
    <xdr:sp macro="" textlink="">
      <xdr:nvSpPr>
        <xdr:cNvPr id="10" name="テキスト ボックス 9">
          <a:extLst>
            <a:ext uri="{FF2B5EF4-FFF2-40B4-BE49-F238E27FC236}">
              <a16:creationId xmlns:a16="http://schemas.microsoft.com/office/drawing/2014/main" id="{00000000-0008-0000-0300-00000A000000}"/>
            </a:ext>
          </a:extLst>
        </xdr:cNvPr>
        <xdr:cNvSpPr txBox="1"/>
      </xdr:nvSpPr>
      <xdr:spPr>
        <a:xfrm>
          <a:off x="7620001" y="9667875"/>
          <a:ext cx="5238750" cy="1390651"/>
        </a:xfrm>
        <a:prstGeom prst="rect">
          <a:avLst/>
        </a:prstGeom>
        <a:solidFill>
          <a:schemeClr val="lt1"/>
        </a:solidFill>
        <a:ln w="57150"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lvl="0"/>
          <a:r>
            <a:rPr kumimoji="1" lang="ja-JP" altLang="en-US" sz="1600"/>
            <a:t>　　先日、お電話でお願いした通り、可能な限り、</a:t>
          </a:r>
          <a:endParaRPr kumimoji="1" lang="en-US" altLang="ja-JP" sz="1600"/>
        </a:p>
        <a:p>
          <a:pPr lvl="0"/>
          <a:r>
            <a:rPr kumimoji="1" lang="ja-JP" altLang="en-US" sz="1600"/>
            <a:t>　　</a:t>
          </a:r>
          <a:r>
            <a:rPr kumimoji="1" lang="ja-JP" altLang="en-US" sz="1800" b="1" u="sng"/>
            <a:t>同じ「納入先」「出荷日」の場合</a:t>
          </a:r>
          <a:r>
            <a:rPr kumimoji="1" lang="ja-JP" altLang="en-US" sz="1600"/>
            <a:t>は、</a:t>
          </a:r>
          <a:endParaRPr kumimoji="1" lang="en-US" altLang="ja-JP" sz="1600"/>
        </a:p>
        <a:p>
          <a:pPr lvl="0"/>
          <a:r>
            <a:rPr kumimoji="1" lang="ja-JP" altLang="en-US" sz="1600"/>
            <a:t>　　まとめて梱包のうえ、発送をお願い致します。</a:t>
          </a:r>
          <a:endParaRPr kumimoji="1" lang="en-US" altLang="ja-JP" sz="1800"/>
        </a:p>
      </xdr:txBody>
    </xdr:sp>
    <xdr:clientData/>
  </xdr:twoCellAnchor>
  <xdr:twoCellAnchor>
    <xdr:from>
      <xdr:col>31</xdr:col>
      <xdr:colOff>66675</xdr:colOff>
      <xdr:row>43</xdr:row>
      <xdr:rowOff>66674</xdr:rowOff>
    </xdr:from>
    <xdr:to>
      <xdr:col>39</xdr:col>
      <xdr:colOff>1000125</xdr:colOff>
      <xdr:row>52</xdr:row>
      <xdr:rowOff>123825</xdr:rowOff>
    </xdr:to>
    <xdr:sp macro="" textlink="">
      <xdr:nvSpPr>
        <xdr:cNvPr id="11" name="テキスト ボックス 10">
          <a:extLst>
            <a:ext uri="{FF2B5EF4-FFF2-40B4-BE49-F238E27FC236}">
              <a16:creationId xmlns:a16="http://schemas.microsoft.com/office/drawing/2014/main" id="{00000000-0008-0000-0300-00000B000000}"/>
            </a:ext>
          </a:extLst>
        </xdr:cNvPr>
        <xdr:cNvSpPr txBox="1"/>
      </xdr:nvSpPr>
      <xdr:spPr>
        <a:xfrm>
          <a:off x="7381875" y="10972799"/>
          <a:ext cx="5543550" cy="1600201"/>
        </a:xfrm>
        <a:prstGeom prst="rect">
          <a:avLst/>
        </a:prstGeom>
        <a:solidFill>
          <a:schemeClr val="lt1"/>
        </a:solidFill>
        <a:ln w="57150"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lvl="0"/>
          <a:r>
            <a:rPr kumimoji="1" lang="ja-JP" altLang="en-US" sz="1600"/>
            <a:t>　　先ほど電話で明日出荷をお願いした件です。</a:t>
          </a:r>
          <a:endParaRPr kumimoji="1" lang="en-US" altLang="ja-JP" sz="1600"/>
        </a:p>
        <a:p>
          <a:pPr lvl="0"/>
          <a:r>
            <a:rPr kumimoji="1" lang="ja-JP" altLang="en-US" sz="1600"/>
            <a:t>　</a:t>
          </a:r>
          <a:r>
            <a:rPr kumimoji="1" lang="ja-JP" altLang="en-US" sz="2000"/>
            <a:t>　</a:t>
          </a:r>
          <a:r>
            <a:rPr kumimoji="1" lang="en-US" altLang="ja-JP" sz="2000" u="sng"/>
            <a:t>5</a:t>
          </a:r>
          <a:r>
            <a:rPr kumimoji="1" lang="ja-JP" altLang="en-US" sz="2000" u="sng"/>
            <a:t>／</a:t>
          </a:r>
          <a:r>
            <a:rPr kumimoji="1" lang="en-US" altLang="ja-JP" sz="2000" u="sng"/>
            <a:t>1</a:t>
          </a:r>
          <a:r>
            <a:rPr kumimoji="1" lang="ja-JP" altLang="en-US" sz="2000" u="sng"/>
            <a:t>（木）→</a:t>
          </a:r>
          <a:r>
            <a:rPr kumimoji="1" lang="en-US" altLang="ja-JP" sz="2000" u="sng"/>
            <a:t>2</a:t>
          </a:r>
          <a:r>
            <a:rPr kumimoji="1" lang="ja-JP" altLang="en-US" sz="2000" u="sng"/>
            <a:t>（金）</a:t>
          </a:r>
          <a:r>
            <a:rPr kumimoji="1" lang="en-US" altLang="ja-JP" sz="2000" u="sng"/>
            <a:t>16-18</a:t>
          </a:r>
          <a:r>
            <a:rPr kumimoji="1" lang="ja-JP" altLang="en-US" sz="2000" u="sng"/>
            <a:t>時</a:t>
          </a:r>
          <a:r>
            <a:rPr kumimoji="1" lang="ja-JP" altLang="en-US" sz="1600"/>
            <a:t>指定でお願いします。</a:t>
          </a:r>
          <a:endParaRPr kumimoji="1" lang="en-US" altLang="ja-JP" sz="1600"/>
        </a:p>
      </xdr:txBody>
    </xdr:sp>
    <xdr:clientData/>
  </xdr:twoCellAnchor>
  <xdr:twoCellAnchor>
    <xdr:from>
      <xdr:col>32</xdr:col>
      <xdr:colOff>238125</xdr:colOff>
      <xdr:row>27</xdr:row>
      <xdr:rowOff>9525</xdr:rowOff>
    </xdr:from>
    <xdr:to>
      <xdr:col>39</xdr:col>
      <xdr:colOff>981075</xdr:colOff>
      <xdr:row>33</xdr:row>
      <xdr:rowOff>19049</xdr:rowOff>
    </xdr:to>
    <xdr:sp macro="" textlink="">
      <xdr:nvSpPr>
        <xdr:cNvPr id="12" name="テキスト ボックス 11">
          <a:extLst>
            <a:ext uri="{FF2B5EF4-FFF2-40B4-BE49-F238E27FC236}">
              <a16:creationId xmlns:a16="http://schemas.microsoft.com/office/drawing/2014/main" id="{00000000-0008-0000-0300-00000C000000}"/>
            </a:ext>
          </a:extLst>
        </xdr:cNvPr>
        <xdr:cNvSpPr txBox="1"/>
      </xdr:nvSpPr>
      <xdr:spPr>
        <a:xfrm>
          <a:off x="7686675" y="7629525"/>
          <a:ext cx="5219700" cy="1495424"/>
        </a:xfrm>
        <a:prstGeom prst="rect">
          <a:avLst/>
        </a:prstGeom>
        <a:solidFill>
          <a:schemeClr val="lt1"/>
        </a:solidFill>
        <a:ln w="57150"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lvl="0">
            <a:lnSpc>
              <a:spcPts val="2000"/>
            </a:lnSpc>
          </a:pPr>
          <a:r>
            <a:rPr kumimoji="1" lang="ja-JP" altLang="en-US" sz="1600" u="none"/>
            <a:t>　　在庫が少なかったので、</a:t>
          </a:r>
          <a:r>
            <a:rPr kumimoji="1" lang="en-US" altLang="ja-JP" sz="1600" u="none"/>
            <a:t>Web</a:t>
          </a:r>
          <a:r>
            <a:rPr kumimoji="1" lang="ja-JP" altLang="en-US" sz="1600" u="none"/>
            <a:t>で発注済です。</a:t>
          </a:r>
          <a:endParaRPr kumimoji="1" lang="en-US" altLang="ja-JP" sz="1600" u="none"/>
        </a:p>
        <a:p>
          <a:pPr lvl="0">
            <a:lnSpc>
              <a:spcPts val="2000"/>
            </a:lnSpc>
          </a:pPr>
          <a:r>
            <a:rPr kumimoji="1" lang="ja-JP" altLang="en-US" sz="1600" b="0" u="none">
              <a:effectLst/>
              <a:latin typeface="ＭＳ Ｐゴシック" panose="020B0600070205080204" pitchFamily="50" charset="-128"/>
              <a:ea typeface="ＭＳ Ｐゴシック" panose="020B0600070205080204" pitchFamily="50" charset="-128"/>
            </a:rPr>
            <a:t>　　（別紙をご参照下さい。注文番号：</a:t>
          </a:r>
          <a:r>
            <a:rPr lang="en-US" altLang="ja-JP" sz="2000"/>
            <a:t>800361968</a:t>
          </a:r>
          <a:r>
            <a:rPr kumimoji="1" lang="ja-JP" altLang="en-US" sz="1600" b="0" u="none">
              <a:effectLst/>
              <a:latin typeface="ＭＳ Ｐゴシック" panose="020B0600070205080204" pitchFamily="50" charset="-128"/>
              <a:ea typeface="ＭＳ Ｐゴシック" panose="020B0600070205080204" pitchFamily="50" charset="-128"/>
            </a:rPr>
            <a:t>）</a:t>
          </a:r>
          <a:endParaRPr kumimoji="1" lang="en-US" altLang="ja-JP" sz="1600" b="0" u="none">
            <a:effectLst/>
            <a:latin typeface="ＭＳ Ｐゴシック" panose="020B0600070205080204" pitchFamily="50" charset="-128"/>
            <a:ea typeface="ＭＳ Ｐゴシック" panose="020B0600070205080204" pitchFamily="50" charset="-128"/>
          </a:endParaRPr>
        </a:p>
        <a:p>
          <a:pPr lvl="0">
            <a:lnSpc>
              <a:spcPts val="2000"/>
            </a:lnSpc>
          </a:pPr>
          <a:r>
            <a:rPr kumimoji="1" lang="ja-JP" altLang="en-US" sz="1600" b="0" u="none">
              <a:effectLst/>
              <a:latin typeface="ＭＳ Ｐゴシック" panose="020B0600070205080204" pitchFamily="50" charset="-128"/>
              <a:ea typeface="ＭＳ Ｐゴシック" panose="020B0600070205080204" pitchFamily="50" charset="-128"/>
            </a:rPr>
            <a:t>　　こちらを上記住所に直送に変更お願い致します。</a:t>
          </a:r>
          <a:endParaRPr lang="ja-JP" altLang="ja-JP" sz="2800" b="0" u="none">
            <a:effectLst/>
            <a:latin typeface="ＭＳ Ｐゴシック" panose="020B0600070205080204" pitchFamily="50" charset="-128"/>
            <a:ea typeface="ＭＳ Ｐゴシック" panose="020B0600070205080204" pitchFamily="50" charset="-128"/>
          </a:endParaRPr>
        </a:p>
      </xdr:txBody>
    </xdr:sp>
    <xdr:clientData/>
  </xdr:twoCellAnchor>
  <xdr:twoCellAnchor>
    <xdr:from>
      <xdr:col>32</xdr:col>
      <xdr:colOff>133351</xdr:colOff>
      <xdr:row>15</xdr:row>
      <xdr:rowOff>47624</xdr:rowOff>
    </xdr:from>
    <xdr:to>
      <xdr:col>39</xdr:col>
      <xdr:colOff>1181101</xdr:colOff>
      <xdr:row>16</xdr:row>
      <xdr:rowOff>857250</xdr:rowOff>
    </xdr:to>
    <xdr:sp macro="" textlink="">
      <xdr:nvSpPr>
        <xdr:cNvPr id="13" name="テキスト ボックス 12">
          <a:extLst>
            <a:ext uri="{FF2B5EF4-FFF2-40B4-BE49-F238E27FC236}">
              <a16:creationId xmlns:a16="http://schemas.microsoft.com/office/drawing/2014/main" id="{00000000-0008-0000-0300-00000D000000}"/>
            </a:ext>
          </a:extLst>
        </xdr:cNvPr>
        <xdr:cNvSpPr txBox="1"/>
      </xdr:nvSpPr>
      <xdr:spPr>
        <a:xfrm>
          <a:off x="7581901" y="3419474"/>
          <a:ext cx="5524500" cy="1028701"/>
        </a:xfrm>
        <a:prstGeom prst="rect">
          <a:avLst/>
        </a:prstGeom>
        <a:solidFill>
          <a:schemeClr val="lt1"/>
        </a:solidFill>
        <a:ln w="57150"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lvl="0"/>
          <a:r>
            <a:rPr kumimoji="1" lang="ja-JP" altLang="en-US" sz="1600"/>
            <a:t>  　★一部、電話でキープ依頼した件です。</a:t>
          </a:r>
          <a:endParaRPr kumimoji="1" lang="en-US" altLang="ja-JP" sz="1600"/>
        </a:p>
        <a:p>
          <a:pPr lvl="0"/>
          <a:r>
            <a:rPr kumimoji="1" lang="ja-JP" altLang="en-US" sz="1600"/>
            <a:t>　　他の商品と一緒に、本日出荷でお願い致します。</a:t>
          </a:r>
          <a:endParaRPr kumimoji="1" lang="en-US" altLang="ja-JP" sz="1600"/>
        </a:p>
      </xdr:txBody>
    </xdr:sp>
    <xdr:clientData/>
  </xdr:twoCellAnchor>
  <xdr:twoCellAnchor>
    <xdr:from>
      <xdr:col>32</xdr:col>
      <xdr:colOff>323850</xdr:colOff>
      <xdr:row>31</xdr:row>
      <xdr:rowOff>66675</xdr:rowOff>
    </xdr:from>
    <xdr:to>
      <xdr:col>39</xdr:col>
      <xdr:colOff>1362075</xdr:colOff>
      <xdr:row>35</xdr:row>
      <xdr:rowOff>142875</xdr:rowOff>
    </xdr:to>
    <xdr:sp macro="" textlink="">
      <xdr:nvSpPr>
        <xdr:cNvPr id="15" name="テキスト ボックス 14">
          <a:extLst>
            <a:ext uri="{FF2B5EF4-FFF2-40B4-BE49-F238E27FC236}">
              <a16:creationId xmlns:a16="http://schemas.microsoft.com/office/drawing/2014/main" id="{00000000-0008-0000-0300-00000F000000}"/>
            </a:ext>
          </a:extLst>
        </xdr:cNvPr>
        <xdr:cNvSpPr txBox="1"/>
      </xdr:nvSpPr>
      <xdr:spPr>
        <a:xfrm>
          <a:off x="7772400" y="8486775"/>
          <a:ext cx="5514975" cy="1066800"/>
        </a:xfrm>
        <a:prstGeom prst="rect">
          <a:avLst/>
        </a:prstGeom>
        <a:solidFill>
          <a:schemeClr val="lt1"/>
        </a:solidFill>
        <a:ln w="57150"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lvl="0"/>
          <a:r>
            <a:rPr kumimoji="1" lang="ja-JP" altLang="en-US" sz="1600"/>
            <a:t>　　明日</a:t>
          </a:r>
          <a:r>
            <a:rPr kumimoji="1" lang="en-US" altLang="ja-JP" sz="1600"/>
            <a:t>7</a:t>
          </a:r>
          <a:r>
            <a:rPr kumimoji="1" lang="ja-JP" altLang="en-US" sz="1600"/>
            <a:t>／</a:t>
          </a:r>
          <a:r>
            <a:rPr kumimoji="1" lang="en-US" altLang="ja-JP" sz="1600"/>
            <a:t>3</a:t>
          </a:r>
          <a:r>
            <a:rPr kumimoji="1" lang="ja-JP" altLang="en-US" sz="1600"/>
            <a:t>（木）入荷次第、出荷でお願い致します。</a:t>
          </a:r>
          <a:endParaRPr kumimoji="1" lang="en-US" altLang="ja-JP" sz="1600"/>
        </a:p>
        <a:p>
          <a:pPr lvl="0"/>
          <a:r>
            <a:rPr kumimoji="1" lang="ja-JP" altLang="en-US" sz="1600"/>
            <a:t>　　（お電話で確認済）</a:t>
          </a:r>
          <a:endParaRPr kumimoji="1" lang="en-US" altLang="ja-JP" sz="16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38100</xdr:colOff>
      <xdr:row>4</xdr:row>
      <xdr:rowOff>38100</xdr:rowOff>
    </xdr:from>
    <xdr:to>
      <xdr:col>5</xdr:col>
      <xdr:colOff>133350</xdr:colOff>
      <xdr:row>5</xdr:row>
      <xdr:rowOff>228600</xdr:rowOff>
    </xdr:to>
    <xdr:sp macro="" textlink="">
      <xdr:nvSpPr>
        <xdr:cNvPr id="98367" name="Oval 2">
          <a:extLst>
            <a:ext uri="{FF2B5EF4-FFF2-40B4-BE49-F238E27FC236}">
              <a16:creationId xmlns:a16="http://schemas.microsoft.com/office/drawing/2014/main" id="{00000000-0008-0000-0400-00003F800100}"/>
            </a:ext>
          </a:extLst>
        </xdr:cNvPr>
        <xdr:cNvSpPr>
          <a:spLocks noChangeArrowheads="1"/>
        </xdr:cNvSpPr>
      </xdr:nvSpPr>
      <xdr:spPr bwMode="auto">
        <a:xfrm>
          <a:off x="76200" y="1219200"/>
          <a:ext cx="971550" cy="266700"/>
        </a:xfrm>
        <a:prstGeom prst="ellipse">
          <a:avLst/>
        </a:prstGeom>
        <a:noFill/>
        <a:ln w="25400">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31</xdr:col>
      <xdr:colOff>47625</xdr:colOff>
      <xdr:row>18</xdr:row>
      <xdr:rowOff>38100</xdr:rowOff>
    </xdr:from>
    <xdr:to>
      <xdr:col>34</xdr:col>
      <xdr:colOff>314325</xdr:colOff>
      <xdr:row>19</xdr:row>
      <xdr:rowOff>28575</xdr:rowOff>
    </xdr:to>
    <xdr:sp macro="" textlink="">
      <xdr:nvSpPr>
        <xdr:cNvPr id="2" name="角丸四角形 1">
          <a:extLst>
            <a:ext uri="{FF2B5EF4-FFF2-40B4-BE49-F238E27FC236}">
              <a16:creationId xmlns:a16="http://schemas.microsoft.com/office/drawing/2014/main" id="{00000000-0008-0000-0400-000002000000}"/>
            </a:ext>
          </a:extLst>
        </xdr:cNvPr>
        <xdr:cNvSpPr/>
      </xdr:nvSpPr>
      <xdr:spPr>
        <a:xfrm>
          <a:off x="7362825" y="5238750"/>
          <a:ext cx="1504950" cy="209550"/>
        </a:xfrm>
        <a:prstGeom prst="roundRect">
          <a:avLst/>
        </a:prstGeom>
        <a:noFill/>
        <a:ln w="34925" cmpd="sng">
          <a:solidFill>
            <a:srgbClr val="C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endParaRPr lang="ja-JP" altLang="en-US"/>
        </a:p>
      </xdr:txBody>
    </xdr:sp>
    <xdr:clientData/>
  </xdr:twoCellAnchor>
  <xdr:twoCellAnchor>
    <xdr:from>
      <xdr:col>7</xdr:col>
      <xdr:colOff>48683</xdr:colOff>
      <xdr:row>11</xdr:row>
      <xdr:rowOff>71967</xdr:rowOff>
    </xdr:from>
    <xdr:to>
      <xdr:col>9</xdr:col>
      <xdr:colOff>182033</xdr:colOff>
      <xdr:row>13</xdr:row>
      <xdr:rowOff>26458</xdr:rowOff>
    </xdr:to>
    <xdr:sp macro="" textlink="">
      <xdr:nvSpPr>
        <xdr:cNvPr id="5" name="角丸四角形 4">
          <a:extLst>
            <a:ext uri="{FF2B5EF4-FFF2-40B4-BE49-F238E27FC236}">
              <a16:creationId xmlns:a16="http://schemas.microsoft.com/office/drawing/2014/main" id="{00000000-0008-0000-0400-000005000000}"/>
            </a:ext>
          </a:extLst>
        </xdr:cNvPr>
        <xdr:cNvSpPr/>
      </xdr:nvSpPr>
      <xdr:spPr>
        <a:xfrm>
          <a:off x="1361016" y="2813050"/>
          <a:ext cx="546100" cy="250825"/>
        </a:xfrm>
        <a:prstGeom prst="roundRect">
          <a:avLst/>
        </a:prstGeom>
        <a:noFill/>
        <a:ln w="34925" cmpd="sng">
          <a:solidFill>
            <a:srgbClr val="C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endParaRPr lang="ja-JP" altLang="en-US"/>
        </a:p>
      </xdr:txBody>
    </xdr:sp>
    <xdr:clientData/>
  </xdr:twoCellAnchor>
  <xdr:twoCellAnchor>
    <xdr:from>
      <xdr:col>31</xdr:col>
      <xdr:colOff>57150</xdr:colOff>
      <xdr:row>15</xdr:row>
      <xdr:rowOff>9524</xdr:rowOff>
    </xdr:from>
    <xdr:to>
      <xdr:col>34</xdr:col>
      <xdr:colOff>0</xdr:colOff>
      <xdr:row>16</xdr:row>
      <xdr:rowOff>28574</xdr:rowOff>
    </xdr:to>
    <xdr:sp macro="" textlink="">
      <xdr:nvSpPr>
        <xdr:cNvPr id="6" name="角丸四角形 5">
          <a:extLst>
            <a:ext uri="{FF2B5EF4-FFF2-40B4-BE49-F238E27FC236}">
              <a16:creationId xmlns:a16="http://schemas.microsoft.com/office/drawing/2014/main" id="{00000000-0008-0000-0400-000006000000}"/>
            </a:ext>
          </a:extLst>
        </xdr:cNvPr>
        <xdr:cNvSpPr/>
      </xdr:nvSpPr>
      <xdr:spPr>
        <a:xfrm>
          <a:off x="7372350" y="3438524"/>
          <a:ext cx="1181100" cy="238125"/>
        </a:xfrm>
        <a:prstGeom prst="roundRect">
          <a:avLst/>
        </a:prstGeom>
        <a:noFill/>
        <a:ln w="34925" cmpd="sng">
          <a:solidFill>
            <a:srgbClr val="C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endParaRPr lang="ja-JP" altLang="en-US"/>
        </a:p>
      </xdr:txBody>
    </xdr:sp>
    <xdr:clientData/>
  </xdr:twoCellAnchor>
  <xdr:twoCellAnchor>
    <xdr:from>
      <xdr:col>32</xdr:col>
      <xdr:colOff>76200</xdr:colOff>
      <xdr:row>26</xdr:row>
      <xdr:rowOff>171450</xdr:rowOff>
    </xdr:from>
    <xdr:to>
      <xdr:col>39</xdr:col>
      <xdr:colOff>1714500</xdr:colOff>
      <xdr:row>36</xdr:row>
      <xdr:rowOff>152399</xdr:rowOff>
    </xdr:to>
    <xdr:sp macro="" textlink="">
      <xdr:nvSpPr>
        <xdr:cNvPr id="7" name="テキスト ボックス 6">
          <a:extLst>
            <a:ext uri="{FF2B5EF4-FFF2-40B4-BE49-F238E27FC236}">
              <a16:creationId xmlns:a16="http://schemas.microsoft.com/office/drawing/2014/main" id="{00000000-0008-0000-0400-000007000000}"/>
            </a:ext>
          </a:extLst>
        </xdr:cNvPr>
        <xdr:cNvSpPr txBox="1"/>
      </xdr:nvSpPr>
      <xdr:spPr>
        <a:xfrm>
          <a:off x="7524750" y="7362825"/>
          <a:ext cx="6115050" cy="2505074"/>
        </a:xfrm>
        <a:prstGeom prst="rect">
          <a:avLst/>
        </a:prstGeom>
        <a:solidFill>
          <a:schemeClr val="lt1"/>
        </a:solidFill>
        <a:ln w="57150"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lvl="0"/>
          <a:r>
            <a:rPr kumimoji="1" lang="ja-JP" altLang="en-US" sz="1600"/>
            <a:t>　営業時間の関係から、</a:t>
          </a:r>
          <a:r>
            <a:rPr kumimoji="1" lang="en-US" altLang="ja-JP" sz="1600"/>
            <a:t>13</a:t>
          </a:r>
          <a:r>
            <a:rPr kumimoji="1" lang="ja-JP" altLang="en-US" sz="1600"/>
            <a:t>～</a:t>
          </a:r>
          <a:r>
            <a:rPr kumimoji="1" lang="en-US" altLang="ja-JP" sz="1600"/>
            <a:t>15</a:t>
          </a:r>
          <a:r>
            <a:rPr kumimoji="1" lang="ja-JP" altLang="en-US" sz="1600"/>
            <a:t>時しか受け取れません。</a:t>
          </a:r>
          <a:endParaRPr kumimoji="1" lang="en-US" altLang="ja-JP" sz="1600"/>
        </a:p>
        <a:p>
          <a:pPr lvl="0"/>
          <a:r>
            <a:rPr kumimoji="1" lang="ja-JP" altLang="en-US" sz="1600"/>
            <a:t>　非常にデリケートなお客様ですので、③伝票備考欄に</a:t>
          </a:r>
          <a:endParaRPr kumimoji="1" lang="en-US" altLang="ja-JP" sz="1600"/>
        </a:p>
        <a:p>
          <a:pPr lvl="0"/>
          <a:r>
            <a:rPr kumimoji="1" lang="ja-JP" altLang="en-US" sz="1600"/>
            <a:t>　</a:t>
          </a:r>
          <a:r>
            <a:rPr kumimoji="1" lang="ja-JP" altLang="en-US" sz="1600" b="1" u="sng"/>
            <a:t>必ず以下のように記載をお願い致します。</a:t>
          </a:r>
          <a:endParaRPr kumimoji="1" lang="en-US" altLang="ja-JP" sz="1600" b="1" u="sng"/>
        </a:p>
        <a:p>
          <a:pPr lvl="0"/>
          <a:endParaRPr kumimoji="1" lang="en-US" altLang="ja-JP" sz="1600"/>
        </a:p>
        <a:p>
          <a:pPr lvl="0"/>
          <a:r>
            <a:rPr kumimoji="1" lang="ja-JP" altLang="en-US" sz="2000"/>
            <a:t>　</a:t>
          </a:r>
          <a:r>
            <a:rPr kumimoji="1" lang="en-US" altLang="ja-JP" sz="2000"/>
            <a:t>『</a:t>
          </a:r>
          <a:r>
            <a:rPr kumimoji="1" lang="ja-JP" altLang="en-US" sz="2000"/>
            <a:t>衣類・「営業時間の関係上、</a:t>
          </a:r>
          <a:r>
            <a:rPr kumimoji="1" lang="en-US" altLang="ja-JP" sz="2000"/>
            <a:t>13-15</a:t>
          </a:r>
          <a:r>
            <a:rPr kumimoji="1" lang="ja-JP" altLang="en-US" sz="2000"/>
            <a:t>時お届け希望</a:t>
          </a:r>
          <a:endParaRPr kumimoji="1" lang="en-US" altLang="ja-JP" sz="2000"/>
        </a:p>
        <a:p>
          <a:pPr lvl="0"/>
          <a:r>
            <a:rPr kumimoji="1" lang="ja-JP" altLang="en-US" sz="2000"/>
            <a:t>　</a:t>
          </a:r>
          <a:r>
            <a:rPr kumimoji="1" lang="ja-JP" altLang="en-US" sz="2000" baseline="0"/>
            <a:t> </a:t>
          </a:r>
          <a:r>
            <a:rPr kumimoji="1" lang="ja-JP" altLang="en-US" sz="2000"/>
            <a:t>★それ以外は受け取り拒否」</a:t>
          </a:r>
          <a:r>
            <a:rPr kumimoji="1" lang="en-US" altLang="ja-JP" sz="2000"/>
            <a:t>』</a:t>
          </a:r>
          <a:endParaRPr kumimoji="1" lang="en-US" altLang="ja-JP" sz="2800"/>
        </a:p>
      </xdr:txBody>
    </xdr:sp>
    <xdr:clientData/>
  </xdr:twoCellAnchor>
  <xdr:twoCellAnchor>
    <xdr:from>
      <xdr:col>32</xdr:col>
      <xdr:colOff>28575</xdr:colOff>
      <xdr:row>20</xdr:row>
      <xdr:rowOff>419099</xdr:rowOff>
    </xdr:from>
    <xdr:to>
      <xdr:col>39</xdr:col>
      <xdr:colOff>723901</xdr:colOff>
      <xdr:row>27</xdr:row>
      <xdr:rowOff>104775</xdr:rowOff>
    </xdr:to>
    <xdr:sp macro="" textlink="">
      <xdr:nvSpPr>
        <xdr:cNvPr id="9" name="テキスト ボックス 8">
          <a:extLst>
            <a:ext uri="{FF2B5EF4-FFF2-40B4-BE49-F238E27FC236}">
              <a16:creationId xmlns:a16="http://schemas.microsoft.com/office/drawing/2014/main" id="{00000000-0008-0000-0400-000009000000}"/>
            </a:ext>
          </a:extLst>
        </xdr:cNvPr>
        <xdr:cNvSpPr txBox="1"/>
      </xdr:nvSpPr>
      <xdr:spPr>
        <a:xfrm>
          <a:off x="7477125" y="5943599"/>
          <a:ext cx="5172076" cy="1543051"/>
        </a:xfrm>
        <a:prstGeom prst="rect">
          <a:avLst/>
        </a:prstGeom>
        <a:solidFill>
          <a:schemeClr val="lt1"/>
        </a:solidFill>
        <a:ln w="57150"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lvl="0"/>
          <a:r>
            <a:rPr kumimoji="1" lang="ja-JP" altLang="en-US" sz="1600"/>
            <a:t>　　土曜日で在庫確認ができませんでしたので、</a:t>
          </a:r>
          <a:endParaRPr kumimoji="1" lang="en-US" altLang="ja-JP" sz="1600"/>
        </a:p>
        <a:p>
          <a:pPr lvl="0"/>
          <a:r>
            <a:rPr kumimoji="1" lang="ja-JP" altLang="en-US" sz="1600"/>
            <a:t>　　取り急ぎキープ依頼させていただきます。</a:t>
          </a:r>
          <a:endParaRPr kumimoji="1" lang="en-US" altLang="ja-JP" sz="1600"/>
        </a:p>
        <a:p>
          <a:pPr lvl="0"/>
          <a:r>
            <a:rPr kumimoji="1" lang="ja-JP" altLang="en-US" sz="1600"/>
            <a:t>　　また月曜に電話しますので、お願い致します。</a:t>
          </a:r>
          <a:endParaRPr kumimoji="1" lang="en-US" altLang="ja-JP" sz="2000"/>
        </a:p>
      </xdr:txBody>
    </xdr:sp>
    <xdr:clientData/>
  </xdr:twoCellAnchor>
  <xdr:twoCellAnchor>
    <xdr:from>
      <xdr:col>23</xdr:col>
      <xdr:colOff>95251</xdr:colOff>
      <xdr:row>44</xdr:row>
      <xdr:rowOff>114299</xdr:rowOff>
    </xdr:from>
    <xdr:to>
      <xdr:col>38</xdr:col>
      <xdr:colOff>352427</xdr:colOff>
      <xdr:row>54</xdr:row>
      <xdr:rowOff>152400</xdr:rowOff>
    </xdr:to>
    <xdr:sp macro="" textlink="">
      <xdr:nvSpPr>
        <xdr:cNvPr id="8" name="テキスト ボックス 7">
          <a:extLst>
            <a:ext uri="{FF2B5EF4-FFF2-40B4-BE49-F238E27FC236}">
              <a16:creationId xmlns:a16="http://schemas.microsoft.com/office/drawing/2014/main" id="{00000000-0008-0000-0400-000008000000}"/>
            </a:ext>
          </a:extLst>
        </xdr:cNvPr>
        <xdr:cNvSpPr txBox="1"/>
      </xdr:nvSpPr>
      <xdr:spPr>
        <a:xfrm>
          <a:off x="5810251" y="11296649"/>
          <a:ext cx="5724526" cy="1752601"/>
        </a:xfrm>
        <a:prstGeom prst="rect">
          <a:avLst/>
        </a:prstGeom>
        <a:solidFill>
          <a:schemeClr val="lt1"/>
        </a:solidFill>
        <a:ln w="57150"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lvl="0"/>
          <a:r>
            <a:rPr kumimoji="1" lang="ja-JP" altLang="en-US" sz="1600"/>
            <a:t>　　在庫が少なかったので、</a:t>
          </a:r>
          <a:r>
            <a:rPr kumimoji="1" lang="en-US" altLang="ja-JP" sz="1600"/>
            <a:t>WEB</a:t>
          </a:r>
          <a:r>
            <a:rPr kumimoji="1" lang="ja-JP" altLang="en-US" sz="1600"/>
            <a:t>使用しました。（別紙）</a:t>
          </a:r>
          <a:endParaRPr kumimoji="1" lang="en-US" altLang="ja-JP" sz="1600"/>
        </a:p>
        <a:p>
          <a:pPr lvl="0"/>
          <a:r>
            <a:rPr kumimoji="1" lang="ja-JP" altLang="en-US" sz="1600"/>
            <a:t>　　発注ではなく、</a:t>
          </a:r>
          <a:r>
            <a:rPr kumimoji="1" lang="ja-JP" altLang="en-US" sz="1800" b="1" u="sng"/>
            <a:t>キープに変更</a:t>
          </a:r>
          <a:r>
            <a:rPr kumimoji="1" lang="ja-JP" altLang="en-US" sz="1600"/>
            <a:t>をお願い致します。</a:t>
          </a:r>
          <a:endParaRPr kumimoji="1" lang="en-US" altLang="ja-JP" sz="1600"/>
        </a:p>
        <a:p>
          <a:pPr lvl="0"/>
          <a:r>
            <a:rPr kumimoji="1" lang="ja-JP" altLang="en-US" sz="1600"/>
            <a:t>　　</a:t>
          </a:r>
          <a:r>
            <a:rPr kumimoji="1" lang="en-US" altLang="ja-JP" sz="2400"/>
            <a:t>【</a:t>
          </a:r>
          <a:r>
            <a:rPr kumimoji="1" lang="ja-JP" altLang="en-US" sz="2400"/>
            <a:t>注文番号：</a:t>
          </a:r>
          <a:r>
            <a:rPr kumimoji="1" lang="en-US" altLang="ja-JP" sz="2400"/>
            <a:t>800361131】</a:t>
          </a:r>
        </a:p>
      </xdr:txBody>
    </xdr:sp>
    <xdr:clientData/>
  </xdr:twoCellAnchor>
  <xdr:twoCellAnchor>
    <xdr:from>
      <xdr:col>4</xdr:col>
      <xdr:colOff>190500</xdr:colOff>
      <xdr:row>43</xdr:row>
      <xdr:rowOff>95249</xdr:rowOff>
    </xdr:from>
    <xdr:to>
      <xdr:col>25</xdr:col>
      <xdr:colOff>9525</xdr:colOff>
      <xdr:row>51</xdr:row>
      <xdr:rowOff>28574</xdr:rowOff>
    </xdr:to>
    <xdr:sp macro="" textlink="">
      <xdr:nvSpPr>
        <xdr:cNvPr id="10" name="テキスト ボックス 9">
          <a:extLst>
            <a:ext uri="{FF2B5EF4-FFF2-40B4-BE49-F238E27FC236}">
              <a16:creationId xmlns:a16="http://schemas.microsoft.com/office/drawing/2014/main" id="{00000000-0008-0000-0400-00000A000000}"/>
            </a:ext>
          </a:extLst>
        </xdr:cNvPr>
        <xdr:cNvSpPr txBox="1"/>
      </xdr:nvSpPr>
      <xdr:spPr>
        <a:xfrm>
          <a:off x="723900" y="11106149"/>
          <a:ext cx="5734050" cy="1304925"/>
        </a:xfrm>
        <a:prstGeom prst="rect">
          <a:avLst/>
        </a:prstGeom>
        <a:solidFill>
          <a:schemeClr val="lt1"/>
        </a:solidFill>
        <a:ln w="57150"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lvl="0"/>
          <a:r>
            <a:rPr kumimoji="1" lang="ja-JP" altLang="en-US" sz="1800"/>
            <a:t>　▼注文確定時に、伝票備考欄に記載して下さい。</a:t>
          </a:r>
          <a:endParaRPr kumimoji="1" lang="en-US" altLang="ja-JP" sz="1800"/>
        </a:p>
        <a:p>
          <a:pPr lvl="0">
            <a:lnSpc>
              <a:spcPts val="2200"/>
            </a:lnSpc>
          </a:pPr>
          <a:r>
            <a:rPr kumimoji="1" lang="ja-JP" altLang="en-US" sz="1800"/>
            <a:t>　「不在の場合は宅配ボックスへお願いします。」</a:t>
          </a:r>
        </a:p>
      </xdr:txBody>
    </xdr:sp>
    <xdr:clientData/>
  </xdr:twoCellAnchor>
  <xdr:twoCellAnchor>
    <xdr:from>
      <xdr:col>31</xdr:col>
      <xdr:colOff>95250</xdr:colOff>
      <xdr:row>33</xdr:row>
      <xdr:rowOff>209550</xdr:rowOff>
    </xdr:from>
    <xdr:to>
      <xdr:col>39</xdr:col>
      <xdr:colOff>1009650</xdr:colOff>
      <xdr:row>37</xdr:row>
      <xdr:rowOff>171451</xdr:rowOff>
    </xdr:to>
    <xdr:sp macro="" textlink="">
      <xdr:nvSpPr>
        <xdr:cNvPr id="11" name="テキスト ボックス 10">
          <a:extLst>
            <a:ext uri="{FF2B5EF4-FFF2-40B4-BE49-F238E27FC236}">
              <a16:creationId xmlns:a16="http://schemas.microsoft.com/office/drawing/2014/main" id="{00000000-0008-0000-0400-00000B000000}"/>
            </a:ext>
          </a:extLst>
        </xdr:cNvPr>
        <xdr:cNvSpPr txBox="1"/>
      </xdr:nvSpPr>
      <xdr:spPr>
        <a:xfrm>
          <a:off x="7410450" y="9144000"/>
          <a:ext cx="5524500" cy="1028701"/>
        </a:xfrm>
        <a:prstGeom prst="rect">
          <a:avLst/>
        </a:prstGeom>
        <a:solidFill>
          <a:schemeClr val="lt1"/>
        </a:solidFill>
        <a:ln w="57150"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lvl="0"/>
          <a:r>
            <a:rPr kumimoji="1" lang="ja-JP" altLang="en-US" sz="1600"/>
            <a:t>  　★一部、電話でキープ依頼した件です。</a:t>
          </a:r>
          <a:endParaRPr kumimoji="1" lang="en-US" altLang="ja-JP" sz="1600"/>
        </a:p>
        <a:p>
          <a:pPr lvl="0"/>
          <a:r>
            <a:rPr kumimoji="1" lang="ja-JP" altLang="en-US" sz="1600"/>
            <a:t>　　他の商品と一緒に、キープをお願い致します。</a:t>
          </a:r>
          <a:endParaRPr kumimoji="1" lang="en-US" altLang="ja-JP" sz="16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38100</xdr:colOff>
      <xdr:row>3</xdr:row>
      <xdr:rowOff>28575</xdr:rowOff>
    </xdr:from>
    <xdr:to>
      <xdr:col>5</xdr:col>
      <xdr:colOff>133350</xdr:colOff>
      <xdr:row>3</xdr:row>
      <xdr:rowOff>295275</xdr:rowOff>
    </xdr:to>
    <xdr:sp macro="" textlink="">
      <xdr:nvSpPr>
        <xdr:cNvPr id="99370" name="Oval 2">
          <a:extLst>
            <a:ext uri="{FF2B5EF4-FFF2-40B4-BE49-F238E27FC236}">
              <a16:creationId xmlns:a16="http://schemas.microsoft.com/office/drawing/2014/main" id="{00000000-0008-0000-0500-00002A840100}"/>
            </a:ext>
          </a:extLst>
        </xdr:cNvPr>
        <xdr:cNvSpPr>
          <a:spLocks noChangeArrowheads="1"/>
        </xdr:cNvSpPr>
      </xdr:nvSpPr>
      <xdr:spPr bwMode="auto">
        <a:xfrm>
          <a:off x="76200" y="885825"/>
          <a:ext cx="971550" cy="266700"/>
        </a:xfrm>
        <a:prstGeom prst="ellipse">
          <a:avLst/>
        </a:prstGeom>
        <a:noFill/>
        <a:ln w="25400">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14</xdr:col>
      <xdr:colOff>173566</xdr:colOff>
      <xdr:row>18</xdr:row>
      <xdr:rowOff>7408</xdr:rowOff>
    </xdr:from>
    <xdr:to>
      <xdr:col>19</xdr:col>
      <xdr:colOff>218017</xdr:colOff>
      <xdr:row>18</xdr:row>
      <xdr:rowOff>220133</xdr:rowOff>
    </xdr:to>
    <xdr:sp macro="" textlink="">
      <xdr:nvSpPr>
        <xdr:cNvPr id="3" name="角丸四角形 2">
          <a:extLst>
            <a:ext uri="{FF2B5EF4-FFF2-40B4-BE49-F238E27FC236}">
              <a16:creationId xmlns:a16="http://schemas.microsoft.com/office/drawing/2014/main" id="{00000000-0008-0000-0500-000003000000}"/>
            </a:ext>
          </a:extLst>
        </xdr:cNvPr>
        <xdr:cNvSpPr/>
      </xdr:nvSpPr>
      <xdr:spPr>
        <a:xfrm>
          <a:off x="3189816" y="5246158"/>
          <a:ext cx="1515534" cy="212725"/>
        </a:xfrm>
        <a:prstGeom prst="roundRect">
          <a:avLst/>
        </a:prstGeom>
        <a:noFill/>
        <a:ln w="34925" cmpd="sng">
          <a:solidFill>
            <a:srgbClr val="C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endParaRPr lang="ja-JP" altLang="en-US"/>
        </a:p>
      </xdr:txBody>
    </xdr:sp>
    <xdr:clientData/>
  </xdr:twoCellAnchor>
  <xdr:twoCellAnchor>
    <xdr:from>
      <xdr:col>7</xdr:col>
      <xdr:colOff>13758</xdr:colOff>
      <xdr:row>13</xdr:row>
      <xdr:rowOff>24341</xdr:rowOff>
    </xdr:from>
    <xdr:to>
      <xdr:col>9</xdr:col>
      <xdr:colOff>157692</xdr:colOff>
      <xdr:row>14</xdr:row>
      <xdr:rowOff>52916</xdr:rowOff>
    </xdr:to>
    <xdr:sp macro="" textlink="">
      <xdr:nvSpPr>
        <xdr:cNvPr id="4" name="角丸四角形 3">
          <a:extLst>
            <a:ext uri="{FF2B5EF4-FFF2-40B4-BE49-F238E27FC236}">
              <a16:creationId xmlns:a16="http://schemas.microsoft.com/office/drawing/2014/main" id="{00000000-0008-0000-0500-000004000000}"/>
            </a:ext>
          </a:extLst>
        </xdr:cNvPr>
        <xdr:cNvSpPr/>
      </xdr:nvSpPr>
      <xdr:spPr>
        <a:xfrm>
          <a:off x="1326091" y="3061758"/>
          <a:ext cx="556684" cy="250825"/>
        </a:xfrm>
        <a:prstGeom prst="roundRect">
          <a:avLst/>
        </a:prstGeom>
        <a:noFill/>
        <a:ln w="34925" cmpd="sng">
          <a:solidFill>
            <a:srgbClr val="C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endParaRPr lang="ja-JP" altLang="en-US"/>
        </a:p>
      </xdr:txBody>
    </xdr:sp>
    <xdr:clientData/>
  </xdr:twoCellAnchor>
  <xdr:twoCellAnchor>
    <xdr:from>
      <xdr:col>31</xdr:col>
      <xdr:colOff>66675</xdr:colOff>
      <xdr:row>14</xdr:row>
      <xdr:rowOff>190499</xdr:rowOff>
    </xdr:from>
    <xdr:to>
      <xdr:col>35</xdr:col>
      <xdr:colOff>9525</xdr:colOff>
      <xdr:row>16</xdr:row>
      <xdr:rowOff>9524</xdr:rowOff>
    </xdr:to>
    <xdr:sp macro="" textlink="">
      <xdr:nvSpPr>
        <xdr:cNvPr id="5" name="角丸四角形 4">
          <a:extLst>
            <a:ext uri="{FF2B5EF4-FFF2-40B4-BE49-F238E27FC236}">
              <a16:creationId xmlns:a16="http://schemas.microsoft.com/office/drawing/2014/main" id="{00000000-0008-0000-0500-000005000000}"/>
            </a:ext>
          </a:extLst>
        </xdr:cNvPr>
        <xdr:cNvSpPr/>
      </xdr:nvSpPr>
      <xdr:spPr>
        <a:xfrm>
          <a:off x="7381875" y="3419474"/>
          <a:ext cx="1181100" cy="238125"/>
        </a:xfrm>
        <a:prstGeom prst="roundRect">
          <a:avLst/>
        </a:prstGeom>
        <a:noFill/>
        <a:ln w="34925" cmpd="sng">
          <a:solidFill>
            <a:srgbClr val="C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endParaRPr lang="ja-JP" altLang="en-US"/>
        </a:p>
      </xdr:txBody>
    </xdr:sp>
    <xdr:clientData/>
  </xdr:twoCellAnchor>
  <xdr:twoCellAnchor>
    <xdr:from>
      <xdr:col>7</xdr:col>
      <xdr:colOff>31751</xdr:colOff>
      <xdr:row>15</xdr:row>
      <xdr:rowOff>105833</xdr:rowOff>
    </xdr:from>
    <xdr:to>
      <xdr:col>25</xdr:col>
      <xdr:colOff>31750</xdr:colOff>
      <xdr:row>16</xdr:row>
      <xdr:rowOff>1058333</xdr:rowOff>
    </xdr:to>
    <xdr:sp macro="" textlink="">
      <xdr:nvSpPr>
        <xdr:cNvPr id="6" name="テキスト ボックス 5">
          <a:extLst>
            <a:ext uri="{FF2B5EF4-FFF2-40B4-BE49-F238E27FC236}">
              <a16:creationId xmlns:a16="http://schemas.microsoft.com/office/drawing/2014/main" id="{00000000-0008-0000-0500-000006000000}"/>
            </a:ext>
          </a:extLst>
        </xdr:cNvPr>
        <xdr:cNvSpPr txBox="1"/>
      </xdr:nvSpPr>
      <xdr:spPr>
        <a:xfrm>
          <a:off x="1344084" y="3566583"/>
          <a:ext cx="5154083" cy="1174750"/>
        </a:xfrm>
        <a:prstGeom prst="rect">
          <a:avLst/>
        </a:prstGeom>
        <a:solidFill>
          <a:schemeClr val="lt1"/>
        </a:solidFill>
        <a:ln w="57150"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lvl="0"/>
          <a:r>
            <a:rPr kumimoji="1" lang="ja-JP" altLang="en-US" sz="1600"/>
            <a:t>　　無地での注文です。（御社にお預けしている商品）</a:t>
          </a:r>
          <a:endParaRPr kumimoji="1" lang="en-US" altLang="ja-JP" sz="1600"/>
        </a:p>
        <a:p>
          <a:pPr lvl="0"/>
          <a:r>
            <a:rPr kumimoji="1" lang="ja-JP" altLang="en-US" sz="1600"/>
            <a:t>　　アソートですので、もし在庫がない場合は、</a:t>
          </a:r>
          <a:endParaRPr kumimoji="1" lang="en-US" altLang="ja-JP" sz="1600"/>
        </a:p>
        <a:p>
          <a:pPr lvl="0"/>
          <a:r>
            <a:rPr kumimoji="1" lang="ja-JP" altLang="en-US" sz="1600"/>
            <a:t>　　在庫のあるカラーで、お任せでお願い致します。</a:t>
          </a:r>
          <a:endParaRPr kumimoji="1" lang="en-US" altLang="ja-JP" sz="1600"/>
        </a:p>
      </xdr:txBody>
    </xdr:sp>
    <xdr:clientData/>
  </xdr:twoCellAnchor>
  <xdr:twoCellAnchor>
    <xdr:from>
      <xdr:col>12</xdr:col>
      <xdr:colOff>127000</xdr:colOff>
      <xdr:row>24</xdr:row>
      <xdr:rowOff>63500</xdr:rowOff>
    </xdr:from>
    <xdr:to>
      <xdr:col>12</xdr:col>
      <xdr:colOff>127000</xdr:colOff>
      <xdr:row>37</xdr:row>
      <xdr:rowOff>158750</xdr:rowOff>
    </xdr:to>
    <xdr:cxnSp macro="">
      <xdr:nvCxnSpPr>
        <xdr:cNvPr id="7" name="直線矢印コネクタ 6">
          <a:extLst>
            <a:ext uri="{FF2B5EF4-FFF2-40B4-BE49-F238E27FC236}">
              <a16:creationId xmlns:a16="http://schemas.microsoft.com/office/drawing/2014/main" id="{00000000-0008-0000-0500-000007000000}"/>
            </a:ext>
          </a:extLst>
        </xdr:cNvPr>
        <xdr:cNvCxnSpPr/>
      </xdr:nvCxnSpPr>
      <xdr:spPr>
        <a:xfrm>
          <a:off x="2698750" y="6773333"/>
          <a:ext cx="0" cy="3344334"/>
        </a:xfrm>
        <a:prstGeom prst="straightConnector1">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38100</xdr:colOff>
      <xdr:row>3</xdr:row>
      <xdr:rowOff>38100</xdr:rowOff>
    </xdr:from>
    <xdr:to>
      <xdr:col>5</xdr:col>
      <xdr:colOff>133350</xdr:colOff>
      <xdr:row>3</xdr:row>
      <xdr:rowOff>304800</xdr:rowOff>
    </xdr:to>
    <xdr:sp macro="" textlink="">
      <xdr:nvSpPr>
        <xdr:cNvPr id="100387" name="Oval 2">
          <a:extLst>
            <a:ext uri="{FF2B5EF4-FFF2-40B4-BE49-F238E27FC236}">
              <a16:creationId xmlns:a16="http://schemas.microsoft.com/office/drawing/2014/main" id="{00000000-0008-0000-0700-000023880100}"/>
            </a:ext>
          </a:extLst>
        </xdr:cNvPr>
        <xdr:cNvSpPr>
          <a:spLocks noChangeArrowheads="1"/>
        </xdr:cNvSpPr>
      </xdr:nvSpPr>
      <xdr:spPr bwMode="auto">
        <a:xfrm>
          <a:off x="76200" y="895350"/>
          <a:ext cx="971550" cy="266700"/>
        </a:xfrm>
        <a:prstGeom prst="ellipse">
          <a:avLst/>
        </a:prstGeom>
        <a:noFill/>
        <a:ln w="25400">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14</xdr:col>
      <xdr:colOff>123825</xdr:colOff>
      <xdr:row>17</xdr:row>
      <xdr:rowOff>19050</xdr:rowOff>
    </xdr:from>
    <xdr:to>
      <xdr:col>19</xdr:col>
      <xdr:colOff>171450</xdr:colOff>
      <xdr:row>18</xdr:row>
      <xdr:rowOff>9525</xdr:rowOff>
    </xdr:to>
    <xdr:sp macro="" textlink="">
      <xdr:nvSpPr>
        <xdr:cNvPr id="3" name="角丸四角形 2">
          <a:extLst>
            <a:ext uri="{FF2B5EF4-FFF2-40B4-BE49-F238E27FC236}">
              <a16:creationId xmlns:a16="http://schemas.microsoft.com/office/drawing/2014/main" id="{00000000-0008-0000-0700-000003000000}"/>
            </a:ext>
          </a:extLst>
        </xdr:cNvPr>
        <xdr:cNvSpPr/>
      </xdr:nvSpPr>
      <xdr:spPr>
        <a:xfrm>
          <a:off x="3143250" y="5000625"/>
          <a:ext cx="1504950" cy="209550"/>
        </a:xfrm>
        <a:prstGeom prst="roundRect">
          <a:avLst/>
        </a:prstGeom>
        <a:noFill/>
        <a:ln w="34925" cmpd="sng">
          <a:solidFill>
            <a:srgbClr val="C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endParaRPr lang="ja-JP" altLang="en-US"/>
        </a:p>
      </xdr:txBody>
    </xdr:sp>
    <xdr:clientData/>
  </xdr:twoCellAnchor>
  <xdr:twoCellAnchor>
    <xdr:from>
      <xdr:col>32</xdr:col>
      <xdr:colOff>0</xdr:colOff>
      <xdr:row>11</xdr:row>
      <xdr:rowOff>28575</xdr:rowOff>
    </xdr:from>
    <xdr:to>
      <xdr:col>32</xdr:col>
      <xdr:colOff>552450</xdr:colOff>
      <xdr:row>12</xdr:row>
      <xdr:rowOff>200025</xdr:rowOff>
    </xdr:to>
    <xdr:sp macro="" textlink="">
      <xdr:nvSpPr>
        <xdr:cNvPr id="4" name="角丸四角形 3">
          <a:extLst>
            <a:ext uri="{FF2B5EF4-FFF2-40B4-BE49-F238E27FC236}">
              <a16:creationId xmlns:a16="http://schemas.microsoft.com/office/drawing/2014/main" id="{00000000-0008-0000-0700-000004000000}"/>
            </a:ext>
          </a:extLst>
        </xdr:cNvPr>
        <xdr:cNvSpPr/>
      </xdr:nvSpPr>
      <xdr:spPr>
        <a:xfrm>
          <a:off x="7448550" y="2743200"/>
          <a:ext cx="552450" cy="247650"/>
        </a:xfrm>
        <a:prstGeom prst="roundRect">
          <a:avLst/>
        </a:prstGeom>
        <a:noFill/>
        <a:ln w="34925" cmpd="sng">
          <a:solidFill>
            <a:srgbClr val="C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endParaRPr lang="ja-JP" altLang="en-US"/>
        </a:p>
      </xdr:txBody>
    </xdr:sp>
    <xdr:clientData/>
  </xdr:twoCellAnchor>
  <xdr:twoCellAnchor>
    <xdr:from>
      <xdr:col>7</xdr:col>
      <xdr:colOff>38100</xdr:colOff>
      <xdr:row>12</xdr:row>
      <xdr:rowOff>28574</xdr:rowOff>
    </xdr:from>
    <xdr:to>
      <xdr:col>11</xdr:col>
      <xdr:colOff>304800</xdr:colOff>
      <xdr:row>13</xdr:row>
      <xdr:rowOff>47624</xdr:rowOff>
    </xdr:to>
    <xdr:sp macro="" textlink="">
      <xdr:nvSpPr>
        <xdr:cNvPr id="5" name="角丸四角形 4">
          <a:extLst>
            <a:ext uri="{FF2B5EF4-FFF2-40B4-BE49-F238E27FC236}">
              <a16:creationId xmlns:a16="http://schemas.microsoft.com/office/drawing/2014/main" id="{00000000-0008-0000-0700-000005000000}"/>
            </a:ext>
          </a:extLst>
        </xdr:cNvPr>
        <xdr:cNvSpPr/>
      </xdr:nvSpPr>
      <xdr:spPr>
        <a:xfrm>
          <a:off x="1343025" y="2819399"/>
          <a:ext cx="1181100" cy="238125"/>
        </a:xfrm>
        <a:prstGeom prst="roundRect">
          <a:avLst/>
        </a:prstGeom>
        <a:noFill/>
        <a:ln w="34925" cmpd="sng">
          <a:solidFill>
            <a:srgbClr val="C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endParaRPr lang="ja-JP" altLang="en-US"/>
        </a:p>
      </xdr:txBody>
    </xdr:sp>
    <xdr:clientData/>
  </xdr:twoCellAnchor>
  <xdr:twoCellAnchor>
    <xdr:from>
      <xdr:col>32</xdr:col>
      <xdr:colOff>381000</xdr:colOff>
      <xdr:row>25</xdr:row>
      <xdr:rowOff>222250</xdr:rowOff>
    </xdr:from>
    <xdr:to>
      <xdr:col>39</xdr:col>
      <xdr:colOff>1622425</xdr:colOff>
      <xdr:row>30</xdr:row>
      <xdr:rowOff>95249</xdr:rowOff>
    </xdr:to>
    <xdr:sp macro="" textlink="">
      <xdr:nvSpPr>
        <xdr:cNvPr id="6" name="テキスト ボックス 5">
          <a:extLst>
            <a:ext uri="{FF2B5EF4-FFF2-40B4-BE49-F238E27FC236}">
              <a16:creationId xmlns:a16="http://schemas.microsoft.com/office/drawing/2014/main" id="{00000000-0008-0000-0700-000006000000}"/>
            </a:ext>
          </a:extLst>
        </xdr:cNvPr>
        <xdr:cNvSpPr txBox="1"/>
      </xdr:nvSpPr>
      <xdr:spPr>
        <a:xfrm>
          <a:off x="7794625" y="7175500"/>
          <a:ext cx="5718175" cy="1142999"/>
        </a:xfrm>
        <a:prstGeom prst="rect">
          <a:avLst/>
        </a:prstGeom>
        <a:solidFill>
          <a:schemeClr val="lt1"/>
        </a:solidFill>
        <a:ln w="57150"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lvl="0"/>
          <a:r>
            <a:rPr kumimoji="1" lang="ja-JP" altLang="en-US" sz="1600"/>
            <a:t>　　在庫少なめのため早めにご確認ください！</a:t>
          </a:r>
          <a:endParaRPr kumimoji="1" lang="en-US" altLang="ja-JP" sz="16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19050</xdr:colOff>
      <xdr:row>3</xdr:row>
      <xdr:rowOff>38100</xdr:rowOff>
    </xdr:from>
    <xdr:to>
      <xdr:col>5</xdr:col>
      <xdr:colOff>114300</xdr:colOff>
      <xdr:row>3</xdr:row>
      <xdr:rowOff>304800</xdr:rowOff>
    </xdr:to>
    <xdr:sp macro="" textlink="">
      <xdr:nvSpPr>
        <xdr:cNvPr id="11257" name="Oval 2">
          <a:extLst>
            <a:ext uri="{FF2B5EF4-FFF2-40B4-BE49-F238E27FC236}">
              <a16:creationId xmlns:a16="http://schemas.microsoft.com/office/drawing/2014/main" id="{00000000-0008-0000-0800-0000F92B0000}"/>
            </a:ext>
          </a:extLst>
        </xdr:cNvPr>
        <xdr:cNvSpPr>
          <a:spLocks noChangeArrowheads="1"/>
        </xdr:cNvSpPr>
      </xdr:nvSpPr>
      <xdr:spPr bwMode="auto">
        <a:xfrm>
          <a:off x="57150" y="914400"/>
          <a:ext cx="971550" cy="266700"/>
        </a:xfrm>
        <a:prstGeom prst="ellipse">
          <a:avLst/>
        </a:prstGeom>
        <a:noFill/>
        <a:ln w="25400">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403860</xdr:colOff>
          <xdr:row>0</xdr:row>
          <xdr:rowOff>121920</xdr:rowOff>
        </xdr:from>
        <xdr:to>
          <xdr:col>9</xdr:col>
          <xdr:colOff>7620</xdr:colOff>
          <xdr:row>0</xdr:row>
          <xdr:rowOff>579120</xdr:rowOff>
        </xdr:to>
        <xdr:sp macro="" textlink="">
          <xdr:nvSpPr>
            <xdr:cNvPr id="45061" name="Button 5" hidden="1">
              <a:extLst>
                <a:ext uri="{63B3BB69-23CF-44E3-9099-C40C66FF867C}">
                  <a14:compatExt spid="_x0000_s45061"/>
                </a:ext>
                <a:ext uri="{FF2B5EF4-FFF2-40B4-BE49-F238E27FC236}">
                  <a16:creationId xmlns:a16="http://schemas.microsoft.com/office/drawing/2014/main" id="{00000000-0008-0000-0A00-000005B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メール送信</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S-DHTGL1A7\share\Users\plus1-17\Documents\20150318_0903_&#23500;&#23713;&#31056;&#19968;_FrangoFrango&#65288;&#30058;&#21495;&#65289;_&#21830;&#21697;&#30330;&#27880;&#26360;_.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192.168.91.201\share\Users\plus1\Documents\20170311_1118_&#24196;&#21496;&#24859;_REISM_&#21830;&#21697;&#30330;&#27880;&#26360;_.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STER"/>
      <sheetName val="発注プラスワン"/>
      <sheetName val="Webプラスワン"/>
      <sheetName val="発注TOMS"/>
      <sheetName val="WebTOMS"/>
    </sheetNames>
    <sheetDataSet>
      <sheetData sheetId="0" refreshError="1">
        <row r="2">
          <cell r="A2" t="str">
            <v>FrangoFrango（番号）</v>
          </cell>
        </row>
      </sheetData>
      <sheetData sheetId="1" refreshError="1"/>
      <sheetData sheetId="2" refreshError="1"/>
      <sheetData sheetId="3" refreshError="1"/>
      <sheetData sheetId="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STER"/>
      <sheetName val="発注トレードワークス"/>
      <sheetName val="Webトレードワークス"/>
    </sheetNames>
    <sheetDataSet>
      <sheetData sheetId="0">
        <row r="2">
          <cell r="A2" t="str">
            <v>REISM</v>
          </cell>
        </row>
      </sheetData>
      <sheetData sheetId="1"/>
      <sheetData sheetId="2"/>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9.xml"/><Relationship Id="rId1" Type="http://schemas.openxmlformats.org/officeDocument/2006/relationships/printerSettings" Target="../printerSettings/printerSettings11.bin"/><Relationship Id="rId4" Type="http://schemas.openxmlformats.org/officeDocument/2006/relationships/ctrlProp" Target="../ctrlProps/ctrlProp1.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C00"/>
  </sheetPr>
  <dimension ref="B1:AG47"/>
  <sheetViews>
    <sheetView view="pageBreakPreview" zoomScaleNormal="90" zoomScaleSheetLayoutView="100" workbookViewId="0">
      <selection activeCell="AK21" sqref="AK21"/>
    </sheetView>
  </sheetViews>
  <sheetFormatPr defaultRowHeight="13.2" x14ac:dyDescent="0.2"/>
  <cols>
    <col min="1" max="1" width="0.44140625" customWidth="1"/>
    <col min="2" max="2" width="1.88671875" customWidth="1"/>
    <col min="3" max="3" width="1.21875" customWidth="1"/>
    <col min="4" max="4" width="3.33203125" customWidth="1"/>
    <col min="5" max="5" width="5" customWidth="1"/>
    <col min="6" max="6" width="2.109375" customWidth="1"/>
    <col min="7" max="7" width="3" customWidth="1"/>
    <col min="8" max="8" width="1" customWidth="1"/>
    <col min="9" max="9" width="4.44140625" customWidth="1"/>
    <col min="10" max="11" width="2.109375" customWidth="1"/>
    <col min="12" max="12" width="1.21875" customWidth="1"/>
    <col min="13" max="13" width="4.6640625" customWidth="1"/>
    <col min="14" max="14" width="2.6640625" customWidth="1"/>
    <col min="15" max="15" width="3.21875" customWidth="1"/>
    <col min="16" max="16" width="2.44140625" customWidth="1"/>
    <col min="17" max="17" width="2.6640625" customWidth="1"/>
    <col min="18" max="18" width="6" customWidth="1"/>
    <col min="19" max="19" width="4.109375" customWidth="1"/>
    <col min="20" max="20" width="4.33203125" customWidth="1"/>
    <col min="21" max="21" width="4.21875" customWidth="1"/>
    <col min="22" max="22" width="4.6640625" customWidth="1"/>
    <col min="23" max="25" width="2.44140625" customWidth="1"/>
    <col min="26" max="26" width="3.109375" customWidth="1"/>
    <col min="27" max="27" width="3.6640625" customWidth="1"/>
    <col min="28" max="28" width="3" customWidth="1"/>
    <col min="29" max="29" width="1.109375" customWidth="1"/>
    <col min="30" max="30" width="2.21875" customWidth="1"/>
    <col min="31" max="31" width="4.33203125" customWidth="1"/>
    <col min="32" max="33" width="1.77734375" customWidth="1"/>
    <col min="34" max="34" width="0.44140625" customWidth="1"/>
    <col min="35" max="35" width="1.77734375" customWidth="1"/>
    <col min="36" max="36" width="7.88671875" customWidth="1"/>
    <col min="37" max="37" width="14" customWidth="1"/>
    <col min="38" max="38" width="7.44140625" customWidth="1"/>
    <col min="42" max="42" width="9.77734375" customWidth="1"/>
    <col min="43" max="43" width="77.109375" customWidth="1"/>
    <col min="44" max="44" width="15" customWidth="1"/>
  </cols>
  <sheetData>
    <row r="1" spans="2:33" ht="30.75" customHeight="1" x14ac:dyDescent="0.2">
      <c r="B1" s="3" t="s">
        <v>3569</v>
      </c>
      <c r="C1" s="187" t="e">
        <f>メーカー加工場!B69</f>
        <v>#REF!</v>
      </c>
      <c r="D1" s="187"/>
      <c r="E1" s="187"/>
      <c r="F1" s="187"/>
      <c r="G1" s="187"/>
      <c r="H1" s="187"/>
      <c r="I1" s="187"/>
      <c r="J1" s="187"/>
      <c r="K1" s="187"/>
      <c r="L1" s="187"/>
      <c r="M1" s="187"/>
      <c r="N1" s="187"/>
      <c r="O1" s="187"/>
      <c r="P1" s="187"/>
      <c r="Q1" s="187"/>
      <c r="R1" s="187"/>
      <c r="S1" s="188" t="s">
        <v>404</v>
      </c>
      <c r="T1" s="188"/>
      <c r="U1" s="188"/>
      <c r="V1" s="188"/>
      <c r="W1" s="188"/>
      <c r="X1" s="188"/>
      <c r="Y1" s="188"/>
      <c r="Z1" s="188"/>
      <c r="AA1" s="188"/>
      <c r="AB1" s="188"/>
      <c r="AC1" s="188"/>
      <c r="AD1" s="188"/>
      <c r="AE1" s="188"/>
      <c r="AF1" s="188"/>
      <c r="AG1" s="188"/>
    </row>
    <row r="2" spans="2:33" ht="3" customHeight="1" thickBot="1" x14ac:dyDescent="0.25">
      <c r="B2" s="3"/>
      <c r="C2" s="4"/>
      <c r="D2" s="4"/>
      <c r="E2" s="4"/>
      <c r="F2" s="4"/>
      <c r="G2" s="4"/>
      <c r="H2" s="4"/>
      <c r="I2" s="4"/>
      <c r="J2" s="4"/>
      <c r="K2" s="4"/>
      <c r="L2" s="4"/>
      <c r="M2" s="4"/>
      <c r="N2" s="4"/>
      <c r="O2" s="4"/>
      <c r="P2" s="4"/>
      <c r="Q2" s="4"/>
      <c r="R2" s="4"/>
      <c r="S2" s="5"/>
      <c r="T2" s="5"/>
      <c r="U2" s="5"/>
      <c r="V2" s="5"/>
      <c r="W2" s="5"/>
      <c r="X2" s="5"/>
      <c r="Y2" s="5"/>
      <c r="Z2" s="5"/>
      <c r="AA2" s="5"/>
      <c r="AB2" s="5"/>
      <c r="AC2" s="5"/>
      <c r="AD2" s="5"/>
      <c r="AE2" s="5"/>
      <c r="AF2" s="5"/>
      <c r="AG2" s="5"/>
    </row>
    <row r="3" spans="2:33" ht="30" customHeight="1" x14ac:dyDescent="0.2">
      <c r="B3" s="189" t="s">
        <v>325</v>
      </c>
      <c r="C3" s="190"/>
      <c r="D3" s="190"/>
      <c r="E3" s="190"/>
      <c r="F3" s="191"/>
      <c r="G3" s="192" t="s">
        <v>326</v>
      </c>
      <c r="H3" s="190"/>
      <c r="I3" s="190"/>
      <c r="J3" s="190"/>
      <c r="K3" s="193"/>
      <c r="L3" s="6"/>
      <c r="M3" s="194" t="s">
        <v>327</v>
      </c>
      <c r="N3" s="195"/>
      <c r="O3" s="196"/>
      <c r="P3" s="197" t="s">
        <v>354</v>
      </c>
      <c r="Q3" s="198"/>
      <c r="R3" s="198"/>
      <c r="S3" s="198"/>
      <c r="T3" s="198"/>
      <c r="U3" s="198"/>
      <c r="V3" s="199"/>
      <c r="W3" s="200" t="s">
        <v>328</v>
      </c>
      <c r="X3" s="201"/>
      <c r="Y3" s="201"/>
      <c r="Z3" s="202"/>
      <c r="AA3" s="203" t="str">
        <f>メーカー加工場!B71</f>
        <v>●●</v>
      </c>
      <c r="AB3" s="204"/>
      <c r="AC3" s="204"/>
      <c r="AD3" s="204"/>
      <c r="AE3" s="205" t="s">
        <v>385</v>
      </c>
      <c r="AF3" s="205"/>
      <c r="AG3" s="206"/>
    </row>
    <row r="4" spans="2:33" ht="23.25" customHeight="1" thickBot="1" x14ac:dyDescent="0.25">
      <c r="B4" s="213" t="s">
        <v>329</v>
      </c>
      <c r="C4" s="214"/>
      <c r="D4" s="214"/>
      <c r="E4" s="214"/>
      <c r="F4" s="215"/>
      <c r="G4" s="216"/>
      <c r="H4" s="217"/>
      <c r="I4" s="217"/>
      <c r="J4" s="217"/>
      <c r="K4" s="218"/>
      <c r="L4" s="7"/>
      <c r="M4" s="219" t="s">
        <v>330</v>
      </c>
      <c r="N4" s="220"/>
      <c r="O4" s="221"/>
      <c r="P4" s="222"/>
      <c r="Q4" s="223"/>
      <c r="R4" s="223"/>
      <c r="S4" s="223"/>
      <c r="T4" s="223"/>
      <c r="U4" s="223"/>
      <c r="V4" s="224"/>
      <c r="W4" s="207" t="s">
        <v>331</v>
      </c>
      <c r="X4" s="208"/>
      <c r="Y4" s="208"/>
      <c r="Z4" s="209"/>
      <c r="AA4" s="210"/>
      <c r="AB4" s="211"/>
      <c r="AC4" s="211"/>
      <c r="AD4" s="211"/>
      <c r="AE4" s="211"/>
      <c r="AF4" s="211"/>
      <c r="AG4" s="212"/>
    </row>
    <row r="5" spans="2:33" ht="4.5" customHeight="1" x14ac:dyDescent="0.2">
      <c r="B5" s="213" t="s">
        <v>332</v>
      </c>
      <c r="C5" s="214"/>
      <c r="D5" s="214"/>
      <c r="E5" s="214"/>
      <c r="F5" s="215"/>
      <c r="G5" s="237">
        <f ca="1">TODAY()</f>
        <v>45831</v>
      </c>
      <c r="H5" s="238"/>
      <c r="I5" s="238"/>
      <c r="J5" s="238"/>
      <c r="K5" s="239"/>
      <c r="L5" s="7"/>
      <c r="M5" s="8"/>
      <c r="N5" s="8"/>
      <c r="O5" s="8"/>
      <c r="P5" s="8"/>
      <c r="Q5" s="9"/>
      <c r="R5" s="9"/>
      <c r="S5" s="9"/>
      <c r="T5" s="9"/>
      <c r="U5" s="9"/>
      <c r="V5" s="9"/>
      <c r="W5" s="10"/>
      <c r="X5" s="10"/>
      <c r="Y5" s="10"/>
      <c r="Z5" s="10"/>
      <c r="AA5" s="11"/>
      <c r="AB5" s="11"/>
      <c r="AC5" s="11"/>
      <c r="AD5" s="11"/>
      <c r="AE5" s="11"/>
      <c r="AF5" s="11"/>
      <c r="AG5" s="11"/>
    </row>
    <row r="6" spans="2:33" ht="19.5" customHeight="1" x14ac:dyDescent="0.2">
      <c r="B6" s="234"/>
      <c r="C6" s="235"/>
      <c r="D6" s="235"/>
      <c r="E6" s="235"/>
      <c r="F6" s="236"/>
      <c r="G6" s="240"/>
      <c r="H6" s="241"/>
      <c r="I6" s="241"/>
      <c r="J6" s="241"/>
      <c r="K6" s="242"/>
      <c r="L6" s="7"/>
      <c r="M6" s="243" t="s">
        <v>333</v>
      </c>
      <c r="N6" s="244"/>
      <c r="O6" s="244"/>
      <c r="P6" s="244"/>
      <c r="Q6" s="244"/>
      <c r="R6" s="244"/>
      <c r="S6" s="244"/>
      <c r="T6" s="244"/>
      <c r="U6" s="244"/>
      <c r="V6" s="244"/>
      <c r="W6" s="244"/>
      <c r="X6" s="244"/>
      <c r="Y6" s="244"/>
      <c r="Z6" s="244"/>
      <c r="AA6" s="244"/>
      <c r="AB6" s="244"/>
      <c r="AC6" s="244"/>
      <c r="AD6" s="244"/>
      <c r="AE6" s="244"/>
      <c r="AF6" s="244"/>
      <c r="AG6" s="245"/>
    </row>
    <row r="7" spans="2:33" ht="23.25" customHeight="1" x14ac:dyDescent="0.2">
      <c r="B7" s="246" t="s">
        <v>334</v>
      </c>
      <c r="C7" s="247"/>
      <c r="D7" s="247"/>
      <c r="E7" s="247"/>
      <c r="F7" s="248"/>
      <c r="G7" s="249"/>
      <c r="H7" s="250"/>
      <c r="I7" s="250"/>
      <c r="J7" s="250"/>
      <c r="K7" s="251"/>
      <c r="L7" s="7"/>
      <c r="M7" s="228" t="s">
        <v>725</v>
      </c>
      <c r="N7" s="229"/>
      <c r="O7" s="229"/>
      <c r="P7" s="229"/>
      <c r="Q7" s="229"/>
      <c r="R7" s="229"/>
      <c r="S7" s="229"/>
      <c r="T7" s="229"/>
      <c r="U7" s="229"/>
      <c r="V7" s="229"/>
      <c r="W7" s="229"/>
      <c r="X7" s="229"/>
      <c r="Y7" s="229"/>
      <c r="Z7" s="229"/>
      <c r="AA7" s="229"/>
      <c r="AB7" s="229"/>
      <c r="AC7" s="229"/>
      <c r="AD7" s="229"/>
      <c r="AE7" s="229"/>
      <c r="AF7" s="229"/>
      <c r="AG7" s="230"/>
    </row>
    <row r="8" spans="2:33" ht="23.25" customHeight="1" x14ac:dyDescent="0.2">
      <c r="B8" s="246" t="s">
        <v>335</v>
      </c>
      <c r="C8" s="247"/>
      <c r="D8" s="247"/>
      <c r="E8" s="247"/>
      <c r="F8" s="248"/>
      <c r="G8" s="252"/>
      <c r="H8" s="253"/>
      <c r="I8" s="253"/>
      <c r="J8" s="253"/>
      <c r="K8" s="254"/>
      <c r="L8" s="7"/>
      <c r="M8" s="231"/>
      <c r="N8" s="232"/>
      <c r="O8" s="232"/>
      <c r="P8" s="232"/>
      <c r="Q8" s="232"/>
      <c r="R8" s="232"/>
      <c r="S8" s="232"/>
      <c r="T8" s="232"/>
      <c r="U8" s="232"/>
      <c r="V8" s="232"/>
      <c r="W8" s="232"/>
      <c r="X8" s="232"/>
      <c r="Y8" s="232"/>
      <c r="Z8" s="232"/>
      <c r="AA8" s="232"/>
      <c r="AB8" s="232"/>
      <c r="AC8" s="232"/>
      <c r="AD8" s="232"/>
      <c r="AE8" s="232"/>
      <c r="AF8" s="232"/>
      <c r="AG8" s="233"/>
    </row>
    <row r="9" spans="2:33" ht="8.25" customHeight="1" x14ac:dyDescent="0.2">
      <c r="B9" s="255" t="s">
        <v>336</v>
      </c>
      <c r="C9" s="256"/>
      <c r="D9" s="256"/>
      <c r="E9" s="256"/>
      <c r="F9" s="257"/>
      <c r="G9" s="261"/>
      <c r="H9" s="262"/>
      <c r="I9" s="262"/>
      <c r="J9" s="262"/>
      <c r="K9" s="263"/>
      <c r="L9" s="7"/>
      <c r="M9" s="231"/>
      <c r="N9" s="232"/>
      <c r="O9" s="232"/>
      <c r="P9" s="232"/>
      <c r="Q9" s="232"/>
      <c r="R9" s="232"/>
      <c r="S9" s="232"/>
      <c r="T9" s="232"/>
      <c r="U9" s="232"/>
      <c r="V9" s="232"/>
      <c r="W9" s="232"/>
      <c r="X9" s="232"/>
      <c r="Y9" s="232"/>
      <c r="Z9" s="232"/>
      <c r="AA9" s="232"/>
      <c r="AB9" s="232"/>
      <c r="AC9" s="232"/>
      <c r="AD9" s="232"/>
      <c r="AE9" s="232"/>
      <c r="AF9" s="232"/>
      <c r="AG9" s="233"/>
    </row>
    <row r="10" spans="2:33" ht="15" customHeight="1" thickBot="1" x14ac:dyDescent="0.25">
      <c r="B10" s="258"/>
      <c r="C10" s="259"/>
      <c r="D10" s="259"/>
      <c r="E10" s="259"/>
      <c r="F10" s="260"/>
      <c r="G10" s="264"/>
      <c r="H10" s="265"/>
      <c r="I10" s="265"/>
      <c r="J10" s="265"/>
      <c r="K10" s="266"/>
      <c r="L10" s="7"/>
      <c r="M10" s="225" t="s">
        <v>337</v>
      </c>
      <c r="N10" s="226"/>
      <c r="O10" s="226"/>
      <c r="P10" s="226"/>
      <c r="Q10" s="226"/>
      <c r="R10" s="226"/>
      <c r="S10" s="226"/>
      <c r="T10" s="226"/>
      <c r="U10" s="226"/>
      <c r="V10" s="226"/>
      <c r="W10" s="226"/>
      <c r="X10" s="226"/>
      <c r="Y10" s="226"/>
      <c r="Z10" s="226"/>
      <c r="AA10" s="226"/>
      <c r="AB10" s="226"/>
      <c r="AC10" s="226"/>
      <c r="AD10" s="226"/>
      <c r="AE10" s="226"/>
      <c r="AF10" s="226"/>
      <c r="AG10" s="227"/>
    </row>
    <row r="11" spans="2:33" ht="15.75" customHeight="1" x14ac:dyDescent="0.2">
      <c r="B11" s="267" t="e">
        <f>メーカー加工場!B70</f>
        <v>#REF!</v>
      </c>
      <c r="C11" s="267"/>
      <c r="D11" s="267"/>
      <c r="E11" s="267"/>
      <c r="F11" s="267"/>
      <c r="G11" s="267"/>
      <c r="H11" s="267"/>
      <c r="I11" s="267"/>
      <c r="J11" s="267"/>
      <c r="K11" s="267"/>
      <c r="L11" s="267"/>
      <c r="M11" s="267"/>
      <c r="N11" s="267"/>
      <c r="O11" s="267"/>
      <c r="P11" s="267"/>
      <c r="Q11" s="267"/>
      <c r="R11" s="267"/>
      <c r="S11" s="267"/>
      <c r="T11" s="267"/>
      <c r="U11" s="267"/>
      <c r="V11" s="267"/>
      <c r="W11" s="267"/>
      <c r="X11" s="267"/>
      <c r="Y11" s="267"/>
      <c r="Z11" s="267"/>
      <c r="AA11" s="267"/>
      <c r="AB11" s="267"/>
      <c r="AC11" s="267"/>
      <c r="AD11" s="267"/>
      <c r="AE11" s="267"/>
      <c r="AF11" s="267"/>
      <c r="AG11" s="267"/>
    </row>
    <row r="12" spans="2:33" ht="6" customHeight="1" thickBot="1" x14ac:dyDescent="0.25">
      <c r="B12" s="12"/>
      <c r="C12" s="12"/>
      <c r="D12" s="12"/>
      <c r="E12" s="12"/>
      <c r="F12" s="12"/>
      <c r="G12" s="12"/>
      <c r="H12" s="12"/>
      <c r="I12" s="12"/>
      <c r="J12" s="12"/>
      <c r="K12" s="12"/>
      <c r="L12" s="12"/>
      <c r="M12" s="12"/>
      <c r="N12" s="12"/>
      <c r="O12" s="12"/>
      <c r="P12" s="12"/>
      <c r="Q12" s="12"/>
      <c r="R12" s="12"/>
      <c r="S12" s="12"/>
      <c r="T12" s="12"/>
      <c r="U12" s="12"/>
      <c r="V12" s="12"/>
      <c r="W12" s="12"/>
      <c r="X12" s="12"/>
      <c r="Y12" s="12"/>
      <c r="Z12" s="12"/>
      <c r="AA12" s="12"/>
      <c r="AB12" s="12"/>
      <c r="AC12" s="12"/>
      <c r="AD12" s="12"/>
      <c r="AE12" s="12"/>
      <c r="AF12" s="12"/>
      <c r="AG12" s="12"/>
    </row>
    <row r="13" spans="2:33" ht="18" customHeight="1" x14ac:dyDescent="0.2">
      <c r="B13" s="268" t="s">
        <v>338</v>
      </c>
      <c r="C13" s="269"/>
      <c r="D13" s="269"/>
      <c r="E13" s="269"/>
      <c r="F13" s="269"/>
      <c r="G13" s="270"/>
      <c r="H13" s="282" t="s">
        <v>390</v>
      </c>
      <c r="I13" s="283"/>
      <c r="J13" s="283"/>
      <c r="K13" s="283"/>
      <c r="L13" s="283"/>
      <c r="M13" s="283"/>
      <c r="N13" s="283"/>
      <c r="O13" s="283"/>
      <c r="P13" s="283"/>
      <c r="Q13" s="283"/>
      <c r="R13" s="283"/>
      <c r="S13" s="283"/>
      <c r="T13" s="283"/>
      <c r="U13" s="283"/>
      <c r="V13" s="283"/>
      <c r="W13" s="283"/>
      <c r="X13" s="283"/>
      <c r="Y13" s="283"/>
      <c r="Z13" s="283"/>
      <c r="AA13" s="283"/>
      <c r="AB13" s="283"/>
      <c r="AC13" s="284" t="s">
        <v>3640</v>
      </c>
      <c r="AD13" s="284"/>
      <c r="AE13" s="284"/>
      <c r="AF13" s="284"/>
      <c r="AG13" s="285"/>
    </row>
    <row r="14" spans="2:33" ht="18" customHeight="1" x14ac:dyDescent="0.2">
      <c r="B14" s="271"/>
      <c r="C14" s="272"/>
      <c r="D14" s="272"/>
      <c r="E14" s="272"/>
      <c r="F14" s="272"/>
      <c r="G14" s="273"/>
      <c r="H14" s="274" t="s">
        <v>389</v>
      </c>
      <c r="I14" s="275"/>
      <c r="J14" s="275"/>
      <c r="K14" s="275"/>
      <c r="L14" s="275"/>
      <c r="M14" s="275"/>
      <c r="N14" s="275"/>
      <c r="O14" s="275"/>
      <c r="P14" s="288" t="s">
        <v>401</v>
      </c>
      <c r="Q14" s="287"/>
      <c r="R14" s="287"/>
      <c r="S14" s="287"/>
      <c r="T14" s="287"/>
      <c r="U14" s="287"/>
      <c r="V14" s="287"/>
      <c r="W14" s="287"/>
      <c r="X14" s="287"/>
      <c r="Y14" s="287"/>
      <c r="Z14" s="287"/>
      <c r="AA14" s="287"/>
      <c r="AB14" s="289"/>
      <c r="AC14" s="290" t="s">
        <v>386</v>
      </c>
      <c r="AD14" s="290"/>
      <c r="AE14" s="290"/>
      <c r="AF14" s="290"/>
      <c r="AG14" s="291"/>
    </row>
    <row r="15" spans="2:33" ht="18" customHeight="1" x14ac:dyDescent="0.2">
      <c r="B15" s="271"/>
      <c r="C15" s="272"/>
      <c r="D15" s="272"/>
      <c r="E15" s="272"/>
      <c r="F15" s="272"/>
      <c r="G15" s="273"/>
      <c r="H15" s="274" t="str">
        <f>メーカー加工場!B88</f>
        <v xml:space="preserve"> □プロテックス・アパレル(株)</v>
      </c>
      <c r="I15" s="275"/>
      <c r="J15" s="275"/>
      <c r="K15" s="275"/>
      <c r="L15" s="275"/>
      <c r="M15" s="275"/>
      <c r="N15" s="275"/>
      <c r="O15" s="275"/>
      <c r="P15" s="288" t="str">
        <f>メーカー加工場!C88</f>
        <v xml:space="preserve"> 〒838-0226  福岡県朝倉郡筑前町中牟田1175-1</v>
      </c>
      <c r="Q15" s="287"/>
      <c r="R15" s="287"/>
      <c r="S15" s="287"/>
      <c r="T15" s="287"/>
      <c r="U15" s="287"/>
      <c r="V15" s="287"/>
      <c r="W15" s="287"/>
      <c r="X15" s="287"/>
      <c r="Y15" s="287"/>
      <c r="Z15" s="287"/>
      <c r="AA15" s="287"/>
      <c r="AB15" s="289"/>
      <c r="AC15" s="290" t="str">
        <f>メーカー加工場!D88</f>
        <v>0946-42-8777</v>
      </c>
      <c r="AD15" s="290"/>
      <c r="AE15" s="290"/>
      <c r="AF15" s="290"/>
      <c r="AG15" s="291"/>
    </row>
    <row r="16" spans="2:33" ht="18" customHeight="1" x14ac:dyDescent="0.2">
      <c r="B16" s="271"/>
      <c r="C16" s="272"/>
      <c r="D16" s="272"/>
      <c r="E16" s="272"/>
      <c r="F16" s="272"/>
      <c r="G16" s="273"/>
      <c r="H16" s="286" t="str">
        <f>メーカー加工場!B89</f>
        <v xml:space="preserve"> □エースプリント(株)</v>
      </c>
      <c r="I16" s="287"/>
      <c r="J16" s="287"/>
      <c r="K16" s="287"/>
      <c r="L16" s="287"/>
      <c r="M16" s="287"/>
      <c r="N16" s="287"/>
      <c r="O16" s="287"/>
      <c r="P16" s="288" t="str">
        <f>メーカー加工場!C89</f>
        <v xml:space="preserve"> 〒590-0505  大阪府泉南市信達大苗代754-1</v>
      </c>
      <c r="Q16" s="287"/>
      <c r="R16" s="287"/>
      <c r="S16" s="287"/>
      <c r="T16" s="287"/>
      <c r="U16" s="287"/>
      <c r="V16" s="287"/>
      <c r="W16" s="287"/>
      <c r="X16" s="287"/>
      <c r="Y16" s="287"/>
      <c r="Z16" s="287"/>
      <c r="AA16" s="287"/>
      <c r="AB16" s="289"/>
      <c r="AC16" s="290" t="str">
        <f>メーカー加工場!D89</f>
        <v>0724-85-1002</v>
      </c>
      <c r="AD16" s="290"/>
      <c r="AE16" s="290"/>
      <c r="AF16" s="290"/>
      <c r="AG16" s="291"/>
    </row>
    <row r="17" spans="2:33" ht="18" customHeight="1" x14ac:dyDescent="0.2">
      <c r="B17" s="271"/>
      <c r="C17" s="272"/>
      <c r="D17" s="272"/>
      <c r="E17" s="272"/>
      <c r="F17" s="272"/>
      <c r="G17" s="273"/>
      <c r="H17" s="286" t="str">
        <f>メーカー加工場!B90</f>
        <v xml:space="preserve"> □(株)ゲイト</v>
      </c>
      <c r="I17" s="287"/>
      <c r="J17" s="287"/>
      <c r="K17" s="287"/>
      <c r="L17" s="287"/>
      <c r="M17" s="287"/>
      <c r="N17" s="287"/>
      <c r="O17" s="287"/>
      <c r="P17" s="288" t="str">
        <f>メーカー加工場!C90</f>
        <v xml:space="preserve"> 〒598-0021  大阪府泉佐野市日根野2577-1</v>
      </c>
      <c r="Q17" s="287"/>
      <c r="R17" s="287"/>
      <c r="S17" s="287"/>
      <c r="T17" s="287"/>
      <c r="U17" s="287"/>
      <c r="V17" s="287"/>
      <c r="W17" s="287"/>
      <c r="X17" s="287"/>
      <c r="Y17" s="287"/>
      <c r="Z17" s="287"/>
      <c r="AA17" s="287"/>
      <c r="AB17" s="289"/>
      <c r="AC17" s="290" t="str">
        <f>メーカー加工場!D90</f>
        <v>072-496-8505</v>
      </c>
      <c r="AD17" s="290"/>
      <c r="AE17" s="290"/>
      <c r="AF17" s="290"/>
      <c r="AG17" s="291"/>
    </row>
    <row r="18" spans="2:33" ht="18" customHeight="1" x14ac:dyDescent="0.2">
      <c r="B18" s="271"/>
      <c r="C18" s="272"/>
      <c r="D18" s="272"/>
      <c r="E18" s="272"/>
      <c r="F18" s="272"/>
      <c r="G18" s="273"/>
      <c r="H18" s="286" t="str">
        <f>メーカー加工場!B91</f>
        <v xml:space="preserve"> □(株)モリ・フロッキー</v>
      </c>
      <c r="I18" s="287"/>
      <c r="J18" s="287"/>
      <c r="K18" s="287"/>
      <c r="L18" s="287"/>
      <c r="M18" s="287"/>
      <c r="N18" s="287"/>
      <c r="O18" s="287"/>
      <c r="P18" s="288" t="str">
        <f>メーカー加工場!C91</f>
        <v xml:space="preserve"> 〒711-0906  岡山県倉敷市児島下ノ町9-13-24</v>
      </c>
      <c r="Q18" s="287"/>
      <c r="R18" s="287"/>
      <c r="S18" s="287"/>
      <c r="T18" s="287"/>
      <c r="U18" s="287"/>
      <c r="V18" s="287"/>
      <c r="W18" s="287"/>
      <c r="X18" s="287"/>
      <c r="Y18" s="287"/>
      <c r="Z18" s="287"/>
      <c r="AA18" s="287"/>
      <c r="AB18" s="289"/>
      <c r="AC18" s="290" t="str">
        <f>メーカー加工場!D91</f>
        <v>086-474-3430</v>
      </c>
      <c r="AD18" s="290"/>
      <c r="AE18" s="290"/>
      <c r="AF18" s="290"/>
      <c r="AG18" s="291"/>
    </row>
    <row r="19" spans="2:33" ht="18" customHeight="1" x14ac:dyDescent="0.2">
      <c r="B19" s="271"/>
      <c r="C19" s="272"/>
      <c r="D19" s="272"/>
      <c r="E19" s="272"/>
      <c r="F19" s="272"/>
      <c r="G19" s="273"/>
      <c r="H19" s="286" t="str">
        <f>メーカー加工場!B92</f>
        <v xml:space="preserve"> □ライブカラー(株)</v>
      </c>
      <c r="I19" s="287"/>
      <c r="J19" s="287"/>
      <c r="K19" s="287"/>
      <c r="L19" s="287"/>
      <c r="M19" s="287"/>
      <c r="N19" s="287"/>
      <c r="O19" s="287"/>
      <c r="P19" s="288" t="str">
        <f>メーカー加工場!C92</f>
        <v xml:space="preserve"> 〒761-8058　香川県高松市勅使町597-1 グローバル高松1F</v>
      </c>
      <c r="Q19" s="287"/>
      <c r="R19" s="287"/>
      <c r="S19" s="287"/>
      <c r="T19" s="287"/>
      <c r="U19" s="287"/>
      <c r="V19" s="287"/>
      <c r="W19" s="287"/>
      <c r="X19" s="287"/>
      <c r="Y19" s="287"/>
      <c r="Z19" s="287"/>
      <c r="AA19" s="287"/>
      <c r="AB19" s="289"/>
      <c r="AC19" s="290" t="str">
        <f>メーカー加工場!D92</f>
        <v>087-816-8151</v>
      </c>
      <c r="AD19" s="290"/>
      <c r="AE19" s="290"/>
      <c r="AF19" s="290"/>
      <c r="AG19" s="291"/>
    </row>
    <row r="20" spans="2:33" ht="18" customHeight="1" x14ac:dyDescent="0.2">
      <c r="B20" s="271"/>
      <c r="C20" s="272"/>
      <c r="D20" s="272"/>
      <c r="E20" s="272"/>
      <c r="F20" s="272"/>
      <c r="G20" s="273"/>
      <c r="H20" s="286" t="str">
        <f>メーカー加工場!B93</f>
        <v xml:space="preserve"> □(株)トミーズコーポレーション</v>
      </c>
      <c r="I20" s="287"/>
      <c r="J20" s="287"/>
      <c r="K20" s="287"/>
      <c r="L20" s="287"/>
      <c r="M20" s="287"/>
      <c r="N20" s="287"/>
      <c r="O20" s="287"/>
      <c r="P20" s="288" t="str">
        <f>メーカー加工場!C93</f>
        <v xml:space="preserve"> 〒595-0026  大阪府泉大津市東雲町11-10</v>
      </c>
      <c r="Q20" s="287"/>
      <c r="R20" s="287"/>
      <c r="S20" s="287"/>
      <c r="T20" s="287"/>
      <c r="U20" s="287"/>
      <c r="V20" s="287"/>
      <c r="W20" s="287"/>
      <c r="X20" s="287"/>
      <c r="Y20" s="287"/>
      <c r="Z20" s="287"/>
      <c r="AA20" s="287"/>
      <c r="AB20" s="289"/>
      <c r="AC20" s="290" t="str">
        <f>メーカー加工場!D93</f>
        <v>0725-23-9000</v>
      </c>
      <c r="AD20" s="290"/>
      <c r="AE20" s="290"/>
      <c r="AF20" s="290"/>
      <c r="AG20" s="291"/>
    </row>
    <row r="21" spans="2:33" ht="18" customHeight="1" x14ac:dyDescent="0.2">
      <c r="B21" s="271"/>
      <c r="C21" s="272"/>
      <c r="D21" s="272"/>
      <c r="E21" s="272"/>
      <c r="F21" s="272"/>
      <c r="G21" s="273"/>
      <c r="H21" s="286" t="str">
        <f>メーカー加工場!B94</f>
        <v xml:space="preserve"> □(有)東伸</v>
      </c>
      <c r="I21" s="287"/>
      <c r="J21" s="287"/>
      <c r="K21" s="287"/>
      <c r="L21" s="287"/>
      <c r="M21" s="287"/>
      <c r="N21" s="287"/>
      <c r="O21" s="287"/>
      <c r="P21" s="288" t="str">
        <f>メーカー加工場!C94</f>
        <v xml:space="preserve"> 〒799-1351  愛媛県西条市三津屋236-1</v>
      </c>
      <c r="Q21" s="287"/>
      <c r="R21" s="287"/>
      <c r="S21" s="287"/>
      <c r="T21" s="287"/>
      <c r="U21" s="287"/>
      <c r="V21" s="287"/>
      <c r="W21" s="287"/>
      <c r="X21" s="287"/>
      <c r="Y21" s="287"/>
      <c r="Z21" s="287"/>
      <c r="AA21" s="287"/>
      <c r="AB21" s="289"/>
      <c r="AC21" s="290" t="str">
        <f>メーカー加工場!D94</f>
        <v>0898-64-0170</v>
      </c>
      <c r="AD21" s="290"/>
      <c r="AE21" s="290"/>
      <c r="AF21" s="290"/>
      <c r="AG21" s="291"/>
    </row>
    <row r="22" spans="2:33" ht="18" customHeight="1" x14ac:dyDescent="0.2">
      <c r="B22" s="271"/>
      <c r="C22" s="272"/>
      <c r="D22" s="272"/>
      <c r="E22" s="272"/>
      <c r="F22" s="272"/>
      <c r="G22" s="273"/>
      <c r="H22" s="286" t="str">
        <f>メーカー加工場!B95</f>
        <v xml:space="preserve"> □(株)SDS</v>
      </c>
      <c r="I22" s="287"/>
      <c r="J22" s="287"/>
      <c r="K22" s="287"/>
      <c r="L22" s="287"/>
      <c r="M22" s="287"/>
      <c r="N22" s="287"/>
      <c r="O22" s="287"/>
      <c r="P22" s="288" t="str">
        <f>メーカー加工場!C95</f>
        <v xml:space="preserve"> 〒794-0112　愛媛県今治市玉川町小鴨部甲63</v>
      </c>
      <c r="Q22" s="287"/>
      <c r="R22" s="287"/>
      <c r="S22" s="287"/>
      <c r="T22" s="287"/>
      <c r="U22" s="287"/>
      <c r="V22" s="287"/>
      <c r="W22" s="287"/>
      <c r="X22" s="287"/>
      <c r="Y22" s="287"/>
      <c r="Z22" s="287"/>
      <c r="AA22" s="287"/>
      <c r="AB22" s="289"/>
      <c r="AC22" s="290" t="str">
        <f>メーカー加工場!D95</f>
        <v>0898-55-4219</v>
      </c>
      <c r="AD22" s="290"/>
      <c r="AE22" s="290"/>
      <c r="AF22" s="290"/>
      <c r="AG22" s="291"/>
    </row>
    <row r="23" spans="2:33" ht="18" customHeight="1" x14ac:dyDescent="0.2">
      <c r="B23" s="271"/>
      <c r="C23" s="272"/>
      <c r="D23" s="272"/>
      <c r="E23" s="272"/>
      <c r="F23" s="272"/>
      <c r="G23" s="273"/>
      <c r="H23" s="304" t="str">
        <f>メーカー加工場!B96</f>
        <v xml:space="preserve"> □吉岡商店</v>
      </c>
      <c r="I23" s="277"/>
      <c r="J23" s="277"/>
      <c r="K23" s="277"/>
      <c r="L23" s="277"/>
      <c r="M23" s="277"/>
      <c r="N23" s="277"/>
      <c r="O23" s="278"/>
      <c r="P23" s="276" t="str">
        <f>メーカー加工場!C96</f>
        <v xml:space="preserve"> 〒615-0932　京都府京都市右京区梅津上田町10-8</v>
      </c>
      <c r="Q23" s="277"/>
      <c r="R23" s="277"/>
      <c r="S23" s="277"/>
      <c r="T23" s="277"/>
      <c r="U23" s="277"/>
      <c r="V23" s="277"/>
      <c r="W23" s="277"/>
      <c r="X23" s="277"/>
      <c r="Y23" s="277"/>
      <c r="Z23" s="277"/>
      <c r="AA23" s="277"/>
      <c r="AB23" s="278"/>
      <c r="AC23" s="279" t="str">
        <f>メーカー加工場!D96</f>
        <v>090-9690-6916</v>
      </c>
      <c r="AD23" s="280"/>
      <c r="AE23" s="280"/>
      <c r="AF23" s="280"/>
      <c r="AG23" s="281"/>
    </row>
    <row r="24" spans="2:33" ht="32.25" customHeight="1" x14ac:dyDescent="0.2">
      <c r="B24" s="292" t="s">
        <v>342</v>
      </c>
      <c r="C24" s="293"/>
      <c r="D24" s="293"/>
      <c r="E24" s="293"/>
      <c r="F24" s="293"/>
      <c r="G24" s="294"/>
      <c r="H24" s="298" t="s">
        <v>370</v>
      </c>
      <c r="I24" s="299"/>
      <c r="J24" s="300"/>
      <c r="K24" s="300"/>
      <c r="L24" s="300"/>
      <c r="M24" s="300"/>
      <c r="N24" s="300"/>
      <c r="O24" s="300"/>
      <c r="P24" s="301"/>
      <c r="Q24" s="302" t="s">
        <v>343</v>
      </c>
      <c r="R24" s="302"/>
      <c r="S24" s="302"/>
      <c r="T24" s="302"/>
      <c r="U24" s="303"/>
      <c r="V24" s="305" t="s">
        <v>344</v>
      </c>
      <c r="W24" s="306"/>
      <c r="X24" s="306"/>
      <c r="Y24" s="306"/>
      <c r="Z24" s="306"/>
      <c r="AA24" s="307"/>
      <c r="AB24" s="307"/>
      <c r="AC24" s="308"/>
      <c r="AD24" s="308"/>
      <c r="AE24" s="308"/>
      <c r="AF24" s="308"/>
      <c r="AG24" s="309"/>
    </row>
    <row r="25" spans="2:33" ht="15.75" customHeight="1" x14ac:dyDescent="0.2">
      <c r="B25" s="295"/>
      <c r="C25" s="296"/>
      <c r="D25" s="296"/>
      <c r="E25" s="296"/>
      <c r="F25" s="296"/>
      <c r="G25" s="297"/>
      <c r="H25" s="310" t="s">
        <v>346</v>
      </c>
      <c r="I25" s="311"/>
      <c r="J25" s="311"/>
      <c r="K25" s="311"/>
      <c r="L25" s="311"/>
      <c r="M25" s="311"/>
      <c r="N25" s="311"/>
      <c r="O25" s="311"/>
      <c r="P25" s="311"/>
      <c r="Q25" s="311"/>
      <c r="R25" s="311"/>
      <c r="S25" s="311"/>
      <c r="T25" s="311"/>
      <c r="U25" s="311"/>
      <c r="V25" s="311"/>
      <c r="W25" s="311"/>
      <c r="X25" s="311"/>
      <c r="Y25" s="311"/>
      <c r="Z25" s="311"/>
      <c r="AA25" s="311"/>
      <c r="AB25" s="311"/>
      <c r="AC25" s="311"/>
      <c r="AD25" s="311"/>
      <c r="AE25" s="311"/>
      <c r="AF25" s="311"/>
      <c r="AG25" s="312"/>
    </row>
    <row r="26" spans="2:33" ht="32.25" customHeight="1" thickBot="1" x14ac:dyDescent="0.25">
      <c r="B26" s="313" t="s">
        <v>347</v>
      </c>
      <c r="C26" s="314"/>
      <c r="D26" s="314"/>
      <c r="E26" s="314"/>
      <c r="F26" s="314"/>
      <c r="G26" s="315"/>
      <c r="H26" s="316" t="s">
        <v>371</v>
      </c>
      <c r="I26" s="317"/>
      <c r="J26" s="317"/>
      <c r="K26" s="318" t="str">
        <f>IF(旧貼付用!G6=旧貼付用!J6,"",旧貼付用!G6)</f>
        <v>ABC</v>
      </c>
      <c r="L26" s="318"/>
      <c r="M26" s="318"/>
      <c r="N26" s="318"/>
      <c r="O26" s="318"/>
      <c r="P26" s="318"/>
      <c r="Q26" s="318"/>
      <c r="R26" s="318"/>
      <c r="S26" s="318"/>
      <c r="T26" s="319" t="s">
        <v>378</v>
      </c>
      <c r="U26" s="320"/>
      <c r="V26" s="320"/>
      <c r="W26" s="321" t="str">
        <f>メーカー加工場!B71</f>
        <v>●●</v>
      </c>
      <c r="X26" s="321"/>
      <c r="Y26" s="321"/>
      <c r="Z26" s="321"/>
      <c r="AA26" s="321"/>
      <c r="AB26" s="322" t="s">
        <v>384</v>
      </c>
      <c r="AC26" s="322"/>
      <c r="AD26" s="322"/>
      <c r="AE26" s="322"/>
      <c r="AF26" s="322"/>
      <c r="AG26" s="323"/>
    </row>
    <row r="27" spans="2:33" ht="6" customHeight="1" thickBot="1" x14ac:dyDescent="0.25">
      <c r="B27" s="15"/>
      <c r="C27" s="15"/>
      <c r="D27" s="15"/>
      <c r="E27" s="15"/>
      <c r="F27" s="15"/>
      <c r="G27" s="15"/>
      <c r="H27" s="15"/>
      <c r="I27" s="15"/>
      <c r="J27" s="15"/>
      <c r="K27" s="15"/>
      <c r="L27" s="15"/>
      <c r="M27" s="15"/>
      <c r="N27" s="15"/>
      <c r="O27" s="15"/>
      <c r="P27" s="15"/>
      <c r="Q27" s="15"/>
      <c r="R27" s="15"/>
      <c r="S27" s="15"/>
      <c r="T27" s="15"/>
      <c r="U27" s="15"/>
      <c r="V27" s="15"/>
      <c r="W27" s="15"/>
      <c r="X27" s="15"/>
      <c r="Y27" s="15"/>
      <c r="Z27" s="15"/>
      <c r="AA27" s="15"/>
      <c r="AB27" s="15"/>
      <c r="AC27" s="15"/>
      <c r="AD27" s="15"/>
      <c r="AE27" s="15"/>
      <c r="AF27" s="15"/>
      <c r="AG27" s="15"/>
    </row>
    <row r="28" spans="2:33" ht="23.25" customHeight="1" thickBot="1" x14ac:dyDescent="0.25">
      <c r="B28" s="324" t="s">
        <v>351</v>
      </c>
      <c r="C28" s="325"/>
      <c r="D28" s="325"/>
      <c r="E28" s="325"/>
      <c r="F28" s="325"/>
      <c r="G28" s="325"/>
      <c r="H28" s="325" t="s">
        <v>357</v>
      </c>
      <c r="I28" s="325"/>
      <c r="J28" s="325"/>
      <c r="K28" s="325"/>
      <c r="L28" s="325"/>
      <c r="M28" s="325"/>
      <c r="N28" s="325"/>
      <c r="O28" s="325"/>
      <c r="P28" s="325"/>
      <c r="Q28" s="325"/>
      <c r="R28" s="325"/>
      <c r="S28" s="325"/>
      <c r="T28" s="325" t="s">
        <v>356</v>
      </c>
      <c r="U28" s="325"/>
      <c r="V28" s="325"/>
      <c r="W28" s="325"/>
      <c r="X28" s="325"/>
      <c r="Y28" s="325"/>
      <c r="Z28" s="325"/>
      <c r="AA28" s="326" t="s">
        <v>355</v>
      </c>
      <c r="AB28" s="327"/>
      <c r="AC28" s="17"/>
      <c r="AD28" s="339">
        <f>SUM(AA29:AB43)</f>
        <v>20</v>
      </c>
      <c r="AE28" s="340"/>
      <c r="AF28" s="340"/>
      <c r="AG28" s="341"/>
    </row>
    <row r="29" spans="2:33" ht="19.5" customHeight="1" x14ac:dyDescent="0.2">
      <c r="B29" s="328">
        <v>1</v>
      </c>
      <c r="C29" s="329"/>
      <c r="D29" s="330" t="str">
        <f>IF(メーカー加工場!$B$77=2,"",メーカー加工場!D112)</f>
        <v>PMZ-1001-1</v>
      </c>
      <c r="E29" s="330"/>
      <c r="F29" s="330"/>
      <c r="G29" s="330"/>
      <c r="H29" s="333" t="str">
        <f>IF(メーカー加工場!$B$77=2,"",メーカー加工場!H112)</f>
        <v>ドライショートスリーブTシャツ(左or右胸ロゴ付き)</v>
      </c>
      <c r="I29" s="333"/>
      <c r="J29" s="333"/>
      <c r="K29" s="333"/>
      <c r="L29" s="333"/>
      <c r="M29" s="333"/>
      <c r="N29" s="333"/>
      <c r="O29" s="333"/>
      <c r="P29" s="333"/>
      <c r="Q29" s="333"/>
      <c r="R29" s="333"/>
      <c r="S29" s="333"/>
      <c r="T29" s="334" t="str">
        <f>IF(メーカー加工場!$B$77=2,"",メーカー加工場!T112)</f>
        <v>右胸_本体BLK×ロゴNVY</v>
      </c>
      <c r="U29" s="335"/>
      <c r="V29" s="335"/>
      <c r="W29" s="335"/>
      <c r="X29" s="336"/>
      <c r="Y29" s="331" t="str">
        <f>IF(メーカー加工場!Y112=0,"",IF(メーカー加工場!$B$77=2,"",メーカー加工場!Y112))</f>
        <v>M</v>
      </c>
      <c r="Z29" s="332"/>
      <c r="AA29" s="337">
        <f>IF(メーカー加工場!$B$77=2,"",メーカー加工場!AA112)</f>
        <v>1</v>
      </c>
      <c r="AB29" s="338"/>
      <c r="AC29" s="17"/>
      <c r="AD29" s="18"/>
      <c r="AE29" s="18"/>
      <c r="AF29" s="18"/>
      <c r="AG29" s="18"/>
    </row>
    <row r="30" spans="2:33" ht="19.5" customHeight="1" x14ac:dyDescent="0.15">
      <c r="B30" s="349">
        <v>2</v>
      </c>
      <c r="C30" s="350"/>
      <c r="D30" s="351" t="str">
        <f>IF(メーカー加工場!$B$77=2,"",メーカー加工場!D113)</f>
        <v>PMZ-1001-2</v>
      </c>
      <c r="E30" s="352"/>
      <c r="F30" s="352"/>
      <c r="G30" s="353"/>
      <c r="H30" s="342" t="str">
        <f>IF(メーカー加工場!$B$77=2,"",メーカー加工場!H113)</f>
        <v>ドライショートスリーブTシャツ(左or右袖ロゴ付き)</v>
      </c>
      <c r="I30" s="343"/>
      <c r="J30" s="343"/>
      <c r="K30" s="343"/>
      <c r="L30" s="343"/>
      <c r="M30" s="343"/>
      <c r="N30" s="343"/>
      <c r="O30" s="343"/>
      <c r="P30" s="343"/>
      <c r="Q30" s="343"/>
      <c r="R30" s="343"/>
      <c r="S30" s="354"/>
      <c r="T30" s="342" t="str">
        <f>IF(メーカー加工場!$B$77=2,"",メーカー加工場!T113)</f>
        <v>右袖_本体WHT×ロゴHtPNK</v>
      </c>
      <c r="U30" s="343"/>
      <c r="V30" s="343"/>
      <c r="W30" s="343"/>
      <c r="X30" s="344"/>
      <c r="Y30" s="345" t="str">
        <f>IF(メーカー加工場!Y113=0,"",IF(メーカー加工場!$B$77=2,"",メーカー加工場!Y113))</f>
        <v>M</v>
      </c>
      <c r="Z30" s="346"/>
      <c r="AA30" s="347">
        <f>IF(メーカー加工場!$B$77=2,"",メーカー加工場!AA113)</f>
        <v>2</v>
      </c>
      <c r="AB30" s="348"/>
      <c r="AC30" s="15"/>
      <c r="AD30" s="15"/>
      <c r="AE30" s="15"/>
      <c r="AF30" s="15"/>
      <c r="AG30" s="16"/>
    </row>
    <row r="31" spans="2:33" ht="19.5" customHeight="1" x14ac:dyDescent="0.15">
      <c r="B31" s="349">
        <v>3</v>
      </c>
      <c r="C31" s="350"/>
      <c r="D31" s="351" t="str">
        <f>IF(メーカー加工場!$B$77=2,"",メーカー加工場!D114)</f>
        <v>PMZ-1001-3</v>
      </c>
      <c r="E31" s="352"/>
      <c r="F31" s="352"/>
      <c r="G31" s="353"/>
      <c r="H31" s="342" t="str">
        <f>IF(メーカー加工場!$B$77=2,"",メーカー加工場!H114)</f>
        <v>ドライショートスリーブTシャツ(背中襟下ロゴ付き)</v>
      </c>
      <c r="I31" s="343"/>
      <c r="J31" s="343"/>
      <c r="K31" s="343"/>
      <c r="L31" s="343"/>
      <c r="M31" s="343"/>
      <c r="N31" s="343"/>
      <c r="O31" s="343"/>
      <c r="P31" s="343"/>
      <c r="Q31" s="343"/>
      <c r="R31" s="343"/>
      <c r="S31" s="354"/>
      <c r="T31" s="342" t="str">
        <f>IF(メーカー加工場!$B$77=2,"",メーカー加工場!T114)</f>
        <v>背中襟下_本体NVY×ロゴLmGRN</v>
      </c>
      <c r="U31" s="343"/>
      <c r="V31" s="343"/>
      <c r="W31" s="343"/>
      <c r="X31" s="344"/>
      <c r="Y31" s="345">
        <f>IF(メーカー加工場!Y114=0,"",IF(メーカー加工場!$B$77=2,"",メーカー加工場!Y114))</f>
        <v>150</v>
      </c>
      <c r="Z31" s="346"/>
      <c r="AA31" s="347">
        <f>IF(メーカー加工場!$B$77=2,"",メーカー加工場!AA114)</f>
        <v>3</v>
      </c>
      <c r="AB31" s="348"/>
      <c r="AC31" s="15"/>
      <c r="AD31" s="15"/>
      <c r="AE31" s="15"/>
      <c r="AF31" s="15"/>
      <c r="AG31" s="16"/>
    </row>
    <row r="32" spans="2:33" ht="19.5" customHeight="1" x14ac:dyDescent="0.15">
      <c r="B32" s="349">
        <v>4</v>
      </c>
      <c r="C32" s="350"/>
      <c r="D32" s="351" t="str">
        <f>IF(メーカー加工場!$B$77=2,"",メーカー加工場!D115)</f>
        <v>PMZ-2001-1</v>
      </c>
      <c r="E32" s="352"/>
      <c r="F32" s="352"/>
      <c r="G32" s="353"/>
      <c r="H32" s="342" t="str">
        <f>IF(メーカー加工場!$B$77=2,"",メーカー加工場!H115)</f>
        <v>ドライロングスリーブTシャツ(左or右胸ロゴ付き)</v>
      </c>
      <c r="I32" s="343"/>
      <c r="J32" s="343"/>
      <c r="K32" s="343"/>
      <c r="L32" s="343"/>
      <c r="M32" s="343"/>
      <c r="N32" s="343"/>
      <c r="O32" s="343"/>
      <c r="P32" s="343"/>
      <c r="Q32" s="343"/>
      <c r="R32" s="343"/>
      <c r="S32" s="354"/>
      <c r="T32" s="342" t="str">
        <f>IF(メーカー加工場!$B$77=2,"",メーカー加工場!T115)</f>
        <v>左胸_本体WHT×ロゴBLU</v>
      </c>
      <c r="U32" s="343"/>
      <c r="V32" s="343"/>
      <c r="W32" s="343"/>
      <c r="X32" s="344"/>
      <c r="Y32" s="345" t="str">
        <f>IF(メーカー加工場!Y115=0,"",IF(メーカー加工場!$B$77=2,"",メーカー加工場!Y115))</f>
        <v>L</v>
      </c>
      <c r="Z32" s="346"/>
      <c r="AA32" s="347">
        <f>IF(メーカー加工場!$B$77=2,"",メーカー加工場!AA115)</f>
        <v>1</v>
      </c>
      <c r="AB32" s="348"/>
      <c r="AC32" s="15"/>
      <c r="AD32" s="15"/>
      <c r="AE32" s="15"/>
      <c r="AF32" s="15"/>
      <c r="AG32" s="16"/>
    </row>
    <row r="33" spans="2:33" ht="19.5" customHeight="1" x14ac:dyDescent="0.15">
      <c r="B33" s="349">
        <v>5</v>
      </c>
      <c r="C33" s="350"/>
      <c r="D33" s="351" t="str">
        <f>IF(メーカー加工場!$B$77=2,"",メーカー加工場!D116)</f>
        <v>PMZ-2001-2</v>
      </c>
      <c r="E33" s="352"/>
      <c r="F33" s="352"/>
      <c r="G33" s="353"/>
      <c r="H33" s="342" t="str">
        <f>IF(メーカー加工場!$B$77=2,"★別紙参照★",メーカー加工場!H116)</f>
        <v>ドライロングスリーブTシャツ(左or右袖ロゴ付き)</v>
      </c>
      <c r="I33" s="343"/>
      <c r="J33" s="343"/>
      <c r="K33" s="343"/>
      <c r="L33" s="343"/>
      <c r="M33" s="343"/>
      <c r="N33" s="343"/>
      <c r="O33" s="343"/>
      <c r="P33" s="343"/>
      <c r="Q33" s="343"/>
      <c r="R33" s="343"/>
      <c r="S33" s="354"/>
      <c r="T33" s="342" t="str">
        <f>IF(メーカー加工場!$B$77=2,"",メーカー加工場!T116)</f>
        <v>右袖_本体BLK×ロゴRED</v>
      </c>
      <c r="U33" s="343"/>
      <c r="V33" s="343"/>
      <c r="W33" s="343"/>
      <c r="X33" s="344"/>
      <c r="Y33" s="345" t="str">
        <f>IF(メーカー加工場!Y116=0,"",IF(メーカー加工場!$B$77=2,"",メーカー加工場!Y116))</f>
        <v>3XL</v>
      </c>
      <c r="Z33" s="346"/>
      <c r="AA33" s="347">
        <f>IF(メーカー加工場!$B$77=2,"",メーカー加工場!AA116)</f>
        <v>2</v>
      </c>
      <c r="AB33" s="348"/>
      <c r="AC33" s="15"/>
      <c r="AD33" s="15"/>
      <c r="AE33" s="15"/>
      <c r="AF33" s="15"/>
      <c r="AG33" s="16"/>
    </row>
    <row r="34" spans="2:33" ht="19.5" customHeight="1" x14ac:dyDescent="0.15">
      <c r="B34" s="349">
        <v>6</v>
      </c>
      <c r="C34" s="350"/>
      <c r="D34" s="351" t="str">
        <f>IF(メーカー加工場!$B$77=2,"",メーカー加工場!D117)</f>
        <v>PMZ-2001-3</v>
      </c>
      <c r="E34" s="352"/>
      <c r="F34" s="352"/>
      <c r="G34" s="353"/>
      <c r="H34" s="342" t="str">
        <f>IF(メーカー加工場!$B$77=2,"",メーカー加工場!H117)</f>
        <v>ドライロングスリーブTシャツ(背中襟下ロゴ付き)</v>
      </c>
      <c r="I34" s="343"/>
      <c r="J34" s="343"/>
      <c r="K34" s="343"/>
      <c r="L34" s="343"/>
      <c r="M34" s="343"/>
      <c r="N34" s="343"/>
      <c r="O34" s="343"/>
      <c r="P34" s="343"/>
      <c r="Q34" s="343"/>
      <c r="R34" s="343"/>
      <c r="S34" s="354"/>
      <c r="T34" s="342" t="str">
        <f>IF(メーカー加工場!$B$77=2,"",メーカー加工場!T117)</f>
        <v>背中襟下_本体BLK×ロゴWHT</v>
      </c>
      <c r="U34" s="343"/>
      <c r="V34" s="343"/>
      <c r="W34" s="343"/>
      <c r="X34" s="344"/>
      <c r="Y34" s="345" t="str">
        <f>IF(メーカー加工場!Y117=0,"",IF(メーカー加工場!$B$77=2,"",メーカー加工場!Y117))</f>
        <v>M</v>
      </c>
      <c r="Z34" s="346"/>
      <c r="AA34" s="347">
        <f>IF(メーカー加工場!$B$77=2,"",メーカー加工場!AA117)</f>
        <v>5</v>
      </c>
      <c r="AB34" s="348"/>
      <c r="AC34" s="15"/>
      <c r="AD34" s="15"/>
      <c r="AE34" s="15"/>
      <c r="AF34" s="15"/>
      <c r="AG34" s="16"/>
    </row>
    <row r="35" spans="2:33" ht="19.5" customHeight="1" x14ac:dyDescent="0.15">
      <c r="B35" s="349">
        <v>7</v>
      </c>
      <c r="C35" s="350"/>
      <c r="D35" s="351" t="str">
        <f>IF(メーカー加工場!$B$77=2,"",メーカー加工場!D118)</f>
        <v>PMZ-3001-1</v>
      </c>
      <c r="E35" s="352"/>
      <c r="F35" s="352"/>
      <c r="G35" s="353"/>
      <c r="H35" s="342" t="str">
        <f>IF(メーカー加工場!$B$77=2,"",メーカー加工場!H118)</f>
        <v>ボタンダウンポロシャツ(左or右胸ロゴ付き)</v>
      </c>
      <c r="I35" s="343"/>
      <c r="J35" s="343"/>
      <c r="K35" s="343"/>
      <c r="L35" s="343"/>
      <c r="M35" s="343"/>
      <c r="N35" s="343"/>
      <c r="O35" s="343"/>
      <c r="P35" s="343"/>
      <c r="Q35" s="343"/>
      <c r="R35" s="343"/>
      <c r="S35" s="354"/>
      <c r="T35" s="342" t="str">
        <f>IF(メーカー加工場!$B$77=2,"",メーカー加工場!T118)</f>
        <v>左胸_本体YEL×ロゴYEL</v>
      </c>
      <c r="U35" s="343"/>
      <c r="V35" s="343"/>
      <c r="W35" s="343"/>
      <c r="X35" s="344"/>
      <c r="Y35" s="345" t="str">
        <f>IF(メーカー加工場!Y118=0,"",IF(メーカー加工場!$B$77=2,"",メーカー加工場!Y118))</f>
        <v>XL</v>
      </c>
      <c r="Z35" s="346"/>
      <c r="AA35" s="347">
        <f>IF(メーカー加工場!$B$77=2,"",メーカー加工場!AA118)</f>
        <v>1</v>
      </c>
      <c r="AB35" s="348"/>
      <c r="AC35" s="15"/>
      <c r="AD35" s="15"/>
      <c r="AE35" s="15"/>
      <c r="AF35" s="15"/>
      <c r="AG35" s="16"/>
    </row>
    <row r="36" spans="2:33" ht="19.5" customHeight="1" x14ac:dyDescent="0.15">
      <c r="B36" s="349">
        <v>8</v>
      </c>
      <c r="C36" s="350"/>
      <c r="D36" s="351" t="str">
        <f>IF(メーカー加工場!$B$77=2,"",メーカー加工場!D119)</f>
        <v>PMZ-3001-2</v>
      </c>
      <c r="E36" s="352"/>
      <c r="F36" s="352"/>
      <c r="G36" s="353"/>
      <c r="H36" s="342" t="str">
        <f>IF(メーカー加工場!$B$77=2,"",メーカー加工場!H119)</f>
        <v>ボタンダウンポロシャツ(左or右袖ロゴ付き)</v>
      </c>
      <c r="I36" s="343"/>
      <c r="J36" s="343"/>
      <c r="K36" s="343"/>
      <c r="L36" s="343"/>
      <c r="M36" s="343"/>
      <c r="N36" s="343"/>
      <c r="O36" s="343"/>
      <c r="P36" s="343"/>
      <c r="Q36" s="343"/>
      <c r="R36" s="343"/>
      <c r="S36" s="354"/>
      <c r="T36" s="342" t="str">
        <f>IF(メーカー加工場!$B$77=2,"",メーカー加工場!T119)</f>
        <v>右袖_本体BLK×ロゴORG</v>
      </c>
      <c r="U36" s="343"/>
      <c r="V36" s="343"/>
      <c r="W36" s="343"/>
      <c r="X36" s="344"/>
      <c r="Y36" s="345" t="str">
        <f>IF(メーカー加工場!Y119=0,"",IF(メーカー加工場!$B$77=2,"",メーカー加工場!Y119))</f>
        <v>S</v>
      </c>
      <c r="Z36" s="346"/>
      <c r="AA36" s="347">
        <f>IF(メーカー加工場!$B$77=2,"",メーカー加工場!AA119)</f>
        <v>2</v>
      </c>
      <c r="AB36" s="348"/>
      <c r="AC36" s="15"/>
      <c r="AD36" s="15"/>
      <c r="AE36" s="15"/>
      <c r="AF36" s="15"/>
      <c r="AG36" s="16"/>
    </row>
    <row r="37" spans="2:33" ht="19.5" customHeight="1" x14ac:dyDescent="0.15">
      <c r="B37" s="349">
        <v>9</v>
      </c>
      <c r="C37" s="350"/>
      <c r="D37" s="351" t="str">
        <f>IF(メーカー加工場!$B$77=2,"",メーカー加工場!D120)</f>
        <v>PMZ-3001-3</v>
      </c>
      <c r="E37" s="352"/>
      <c r="F37" s="352"/>
      <c r="G37" s="353"/>
      <c r="H37" s="342" t="str">
        <f>IF(メーカー加工場!$B$77=2,"",メーカー加工場!H120)</f>
        <v>ボタンダウンポロシャツ(背中襟下ロゴ付き)</v>
      </c>
      <c r="I37" s="343"/>
      <c r="J37" s="343"/>
      <c r="K37" s="343"/>
      <c r="L37" s="343"/>
      <c r="M37" s="343"/>
      <c r="N37" s="343"/>
      <c r="O37" s="343"/>
      <c r="P37" s="343"/>
      <c r="Q37" s="343"/>
      <c r="R37" s="343"/>
      <c r="S37" s="354"/>
      <c r="T37" s="342" t="str">
        <f>IF(メーカー加工場!$B$77=2,"",メーカー加工場!T120)</f>
        <v>背中襟下_本体NVY×ロゴHtPNK</v>
      </c>
      <c r="U37" s="343"/>
      <c r="V37" s="343"/>
      <c r="W37" s="343"/>
      <c r="X37" s="344"/>
      <c r="Y37" s="345" t="str">
        <f>IF(メーカー加工場!Y120=0,"",IF(メーカー加工場!$B$77=2,"",メーカー加工場!Y120))</f>
        <v>XS</v>
      </c>
      <c r="Z37" s="346"/>
      <c r="AA37" s="347">
        <f>IF(メーカー加工場!$B$77=2,"",メーカー加工場!AA120)</f>
        <v>3</v>
      </c>
      <c r="AB37" s="348"/>
      <c r="AC37" s="15"/>
      <c r="AD37" s="15"/>
      <c r="AE37" s="15"/>
      <c r="AF37" s="15"/>
      <c r="AG37" s="16"/>
    </row>
    <row r="38" spans="2:33" ht="19.5" customHeight="1" x14ac:dyDescent="0.15">
      <c r="B38" s="349">
        <v>10</v>
      </c>
      <c r="C38" s="350"/>
      <c r="D38" s="351" t="str">
        <f>IF(メーカー加工場!$B$77=2,"",メーカー加工場!D121)</f>
        <v/>
      </c>
      <c r="E38" s="352"/>
      <c r="F38" s="352"/>
      <c r="G38" s="353"/>
      <c r="H38" s="342" t="str">
        <f>IF(メーカー加工場!$B$77=2,"",メーカー加工場!H121)</f>
        <v/>
      </c>
      <c r="I38" s="343"/>
      <c r="J38" s="343"/>
      <c r="K38" s="343"/>
      <c r="L38" s="343"/>
      <c r="M38" s="343"/>
      <c r="N38" s="343"/>
      <c r="O38" s="343"/>
      <c r="P38" s="343"/>
      <c r="Q38" s="343"/>
      <c r="R38" s="343"/>
      <c r="S38" s="354"/>
      <c r="T38" s="342" t="str">
        <f>IF(メーカー加工場!$B$77=2,"",メーカー加工場!T121)</f>
        <v/>
      </c>
      <c r="U38" s="343"/>
      <c r="V38" s="343"/>
      <c r="W38" s="343"/>
      <c r="X38" s="344"/>
      <c r="Y38" s="345" t="str">
        <f>IF(メーカー加工場!Y121=0,"",IF(メーカー加工場!$B$77=2,"",メーカー加工場!Y121))</f>
        <v/>
      </c>
      <c r="Z38" s="346"/>
      <c r="AA38" s="347" t="str">
        <f>IF(メーカー加工場!$B$77=2,"",メーカー加工場!AA121)</f>
        <v/>
      </c>
      <c r="AB38" s="348"/>
      <c r="AC38" s="15"/>
      <c r="AD38" s="15"/>
      <c r="AE38" s="15"/>
      <c r="AF38" s="15"/>
      <c r="AG38" s="16"/>
    </row>
    <row r="39" spans="2:33" ht="19.5" customHeight="1" x14ac:dyDescent="0.15">
      <c r="B39" s="349">
        <v>11</v>
      </c>
      <c r="C39" s="350"/>
      <c r="D39" s="351" t="str">
        <f>IF(メーカー加工場!$B$77=2,"",メーカー加工場!D122)</f>
        <v/>
      </c>
      <c r="E39" s="352"/>
      <c r="F39" s="352"/>
      <c r="G39" s="353"/>
      <c r="H39" s="342" t="str">
        <f>IF(メーカー加工場!$B$77=2,"",メーカー加工場!H122)</f>
        <v/>
      </c>
      <c r="I39" s="343"/>
      <c r="J39" s="343"/>
      <c r="K39" s="343"/>
      <c r="L39" s="343"/>
      <c r="M39" s="343"/>
      <c r="N39" s="343"/>
      <c r="O39" s="343"/>
      <c r="P39" s="343"/>
      <c r="Q39" s="343"/>
      <c r="R39" s="343"/>
      <c r="S39" s="354"/>
      <c r="T39" s="342" t="str">
        <f>IF(メーカー加工場!$B$77=2,"",メーカー加工場!T122)</f>
        <v/>
      </c>
      <c r="U39" s="343"/>
      <c r="V39" s="343"/>
      <c r="W39" s="343"/>
      <c r="X39" s="344"/>
      <c r="Y39" s="345" t="str">
        <f>IF(メーカー加工場!Y122=0,"",IF(メーカー加工場!$B$77=2,"",メーカー加工場!Y122))</f>
        <v/>
      </c>
      <c r="Z39" s="346"/>
      <c r="AA39" s="347" t="str">
        <f>IF(メーカー加工場!$B$77=2,"",メーカー加工場!AA122)</f>
        <v/>
      </c>
      <c r="AB39" s="348"/>
      <c r="AC39" s="15"/>
      <c r="AD39" s="15"/>
      <c r="AE39" s="15"/>
      <c r="AF39" s="15"/>
      <c r="AG39" s="16"/>
    </row>
    <row r="40" spans="2:33" ht="19.5" customHeight="1" x14ac:dyDescent="0.15">
      <c r="B40" s="349">
        <v>12</v>
      </c>
      <c r="C40" s="350"/>
      <c r="D40" s="351" t="str">
        <f>IF(メーカー加工場!$B$77=2,"",メーカー加工場!D123)</f>
        <v/>
      </c>
      <c r="E40" s="352"/>
      <c r="F40" s="352"/>
      <c r="G40" s="353"/>
      <c r="H40" s="342" t="str">
        <f>IF(メーカー加工場!$B$77=2,"",メーカー加工場!H123)</f>
        <v/>
      </c>
      <c r="I40" s="343"/>
      <c r="J40" s="343"/>
      <c r="K40" s="343"/>
      <c r="L40" s="343"/>
      <c r="M40" s="343"/>
      <c r="N40" s="343"/>
      <c r="O40" s="343"/>
      <c r="P40" s="343"/>
      <c r="Q40" s="343"/>
      <c r="R40" s="343"/>
      <c r="S40" s="354"/>
      <c r="T40" s="342" t="str">
        <f>IF(メーカー加工場!$B$77=2,"",メーカー加工場!T123)</f>
        <v/>
      </c>
      <c r="U40" s="343"/>
      <c r="V40" s="343"/>
      <c r="W40" s="343"/>
      <c r="X40" s="344"/>
      <c r="Y40" s="345" t="str">
        <f>IF(メーカー加工場!Y123=0,"",IF(メーカー加工場!$B$77=2,"",メーカー加工場!Y123))</f>
        <v/>
      </c>
      <c r="Z40" s="346"/>
      <c r="AA40" s="347" t="str">
        <f>IF(メーカー加工場!$B$77=2,"",メーカー加工場!AA123)</f>
        <v/>
      </c>
      <c r="AB40" s="348"/>
      <c r="AC40" s="15"/>
      <c r="AD40" s="15"/>
      <c r="AE40" s="15"/>
      <c r="AF40" s="15"/>
      <c r="AG40" s="16"/>
    </row>
    <row r="41" spans="2:33" ht="19.5" customHeight="1" x14ac:dyDescent="0.15">
      <c r="B41" s="349">
        <v>13</v>
      </c>
      <c r="C41" s="350"/>
      <c r="D41" s="351" t="str">
        <f>IF(メーカー加工場!$B$77=2,"",メーカー加工場!D124)</f>
        <v/>
      </c>
      <c r="E41" s="352"/>
      <c r="F41" s="352"/>
      <c r="G41" s="353"/>
      <c r="H41" s="342" t="str">
        <f>IF(メーカー加工場!$B$77=2,"",メーカー加工場!H124)</f>
        <v/>
      </c>
      <c r="I41" s="343"/>
      <c r="J41" s="343"/>
      <c r="K41" s="343"/>
      <c r="L41" s="343"/>
      <c r="M41" s="343"/>
      <c r="N41" s="343"/>
      <c r="O41" s="343"/>
      <c r="P41" s="343"/>
      <c r="Q41" s="343"/>
      <c r="R41" s="343"/>
      <c r="S41" s="354"/>
      <c r="T41" s="342" t="str">
        <f>IF(メーカー加工場!$B$77=2,"",メーカー加工場!T124)</f>
        <v/>
      </c>
      <c r="U41" s="343"/>
      <c r="V41" s="343"/>
      <c r="W41" s="343"/>
      <c r="X41" s="344"/>
      <c r="Y41" s="345" t="str">
        <f>IF(メーカー加工場!Y124=0,"",IF(メーカー加工場!$B$77=2,"",メーカー加工場!Y124))</f>
        <v/>
      </c>
      <c r="Z41" s="346"/>
      <c r="AA41" s="347" t="str">
        <f>IF(メーカー加工場!$B$77=2,"",メーカー加工場!AA124)</f>
        <v/>
      </c>
      <c r="AB41" s="348"/>
      <c r="AC41" s="15"/>
      <c r="AD41" s="15"/>
      <c r="AE41" s="15"/>
      <c r="AF41" s="15"/>
      <c r="AG41" s="16"/>
    </row>
    <row r="42" spans="2:33" ht="19.5" customHeight="1" x14ac:dyDescent="0.15">
      <c r="B42" s="349">
        <v>14</v>
      </c>
      <c r="C42" s="350"/>
      <c r="D42" s="351" t="str">
        <f>IF(メーカー加工場!$B$77=2,"",メーカー加工場!D125)</f>
        <v/>
      </c>
      <c r="E42" s="352"/>
      <c r="F42" s="352"/>
      <c r="G42" s="353"/>
      <c r="H42" s="342" t="str">
        <f>IF(メーカー加工場!$B$77=2,"",メーカー加工場!H125)</f>
        <v/>
      </c>
      <c r="I42" s="343"/>
      <c r="J42" s="343"/>
      <c r="K42" s="343"/>
      <c r="L42" s="343"/>
      <c r="M42" s="343"/>
      <c r="N42" s="343"/>
      <c r="O42" s="343"/>
      <c r="P42" s="343"/>
      <c r="Q42" s="343"/>
      <c r="R42" s="343"/>
      <c r="S42" s="354"/>
      <c r="T42" s="342" t="str">
        <f>IF(メーカー加工場!$B$77=2,"",メーカー加工場!T125)</f>
        <v/>
      </c>
      <c r="U42" s="343"/>
      <c r="V42" s="343"/>
      <c r="W42" s="343"/>
      <c r="X42" s="344"/>
      <c r="Y42" s="345" t="str">
        <f>IF(メーカー加工場!Y125=0,"",IF(メーカー加工場!$B$77=2,"",メーカー加工場!Y125))</f>
        <v/>
      </c>
      <c r="Z42" s="346"/>
      <c r="AA42" s="347" t="str">
        <f>IF(メーカー加工場!$B$77=2,"",メーカー加工場!AA125)</f>
        <v/>
      </c>
      <c r="AB42" s="348"/>
      <c r="AC42" s="15"/>
      <c r="AD42" s="15"/>
      <c r="AE42" s="15"/>
      <c r="AF42" s="15"/>
      <c r="AG42" s="16"/>
    </row>
    <row r="43" spans="2:33" ht="19.5" customHeight="1" thickBot="1" x14ac:dyDescent="0.2">
      <c r="B43" s="370">
        <v>15</v>
      </c>
      <c r="C43" s="371"/>
      <c r="D43" s="372" t="str">
        <f>IF(メーカー加工場!$B$77=2,"",メーカー加工場!D126)</f>
        <v/>
      </c>
      <c r="E43" s="373"/>
      <c r="F43" s="373"/>
      <c r="G43" s="374"/>
      <c r="H43" s="375" t="str">
        <f>IF(メーカー加工場!$B$77=2,"",メーカー加工場!H126)</f>
        <v/>
      </c>
      <c r="I43" s="376"/>
      <c r="J43" s="376"/>
      <c r="K43" s="376"/>
      <c r="L43" s="376"/>
      <c r="M43" s="376"/>
      <c r="N43" s="376"/>
      <c r="O43" s="376"/>
      <c r="P43" s="376"/>
      <c r="Q43" s="376"/>
      <c r="R43" s="376"/>
      <c r="S43" s="377"/>
      <c r="T43" s="375" t="str">
        <f>IF(メーカー加工場!$B$77=2,"",メーカー加工場!T126)</f>
        <v/>
      </c>
      <c r="U43" s="376"/>
      <c r="V43" s="376"/>
      <c r="W43" s="376"/>
      <c r="X43" s="380"/>
      <c r="Y43" s="381" t="str">
        <f>IF(メーカー加工場!Y126=0,"",IF(メーカー加工場!$B$77=2,"",メーカー加工場!Y126))</f>
        <v/>
      </c>
      <c r="Z43" s="382"/>
      <c r="AA43" s="378" t="str">
        <f>IF(メーカー加工場!$B$77=2,"",メーカー加工場!AA126)</f>
        <v/>
      </c>
      <c r="AB43" s="379"/>
      <c r="AC43" s="15"/>
      <c r="AD43" s="15"/>
      <c r="AE43" s="15"/>
      <c r="AF43" s="15"/>
      <c r="AG43" s="16"/>
    </row>
    <row r="44" spans="2:33" ht="4.5" customHeight="1" thickBot="1" x14ac:dyDescent="0.25">
      <c r="B44" s="15"/>
      <c r="C44" s="15"/>
      <c r="D44" s="15"/>
      <c r="E44" s="15"/>
      <c r="F44" s="15"/>
      <c r="G44" s="15"/>
      <c r="H44" s="15"/>
      <c r="I44" s="15"/>
      <c r="J44" s="15"/>
      <c r="K44" s="15"/>
      <c r="L44" s="15"/>
      <c r="M44" s="15"/>
      <c r="N44" s="15"/>
      <c r="O44" s="15"/>
      <c r="P44" s="15"/>
      <c r="Q44" s="15"/>
      <c r="R44" s="15"/>
      <c r="S44" s="15"/>
      <c r="T44" s="15"/>
      <c r="U44" s="15"/>
      <c r="V44" s="15"/>
      <c r="W44" s="15"/>
      <c r="X44" s="15"/>
      <c r="Y44" s="15"/>
      <c r="Z44" s="15"/>
      <c r="AA44" s="15"/>
      <c r="AB44" s="15"/>
      <c r="AC44" s="15"/>
      <c r="AD44" s="15"/>
      <c r="AE44" s="15"/>
      <c r="AF44" s="15"/>
      <c r="AG44" s="15"/>
    </row>
    <row r="45" spans="2:33" ht="21" customHeight="1" thickTop="1" x14ac:dyDescent="0.2">
      <c r="B45" s="355" t="s">
        <v>352</v>
      </c>
      <c r="C45" s="356"/>
      <c r="D45" s="356"/>
      <c r="E45" s="356"/>
      <c r="F45" s="356"/>
      <c r="G45" s="356"/>
      <c r="H45" s="359" t="s">
        <v>381</v>
      </c>
      <c r="I45" s="360"/>
      <c r="J45" s="360"/>
      <c r="K45" s="360"/>
      <c r="L45" s="360"/>
      <c r="M45" s="360"/>
      <c r="N45" s="360"/>
      <c r="O45" s="360"/>
      <c r="P45" s="360"/>
      <c r="Q45" s="360"/>
      <c r="R45" s="360"/>
      <c r="S45" s="360"/>
      <c r="T45" s="361"/>
      <c r="U45" s="361"/>
      <c r="V45" s="361"/>
      <c r="W45" s="361"/>
      <c r="X45" s="361"/>
      <c r="Y45" s="361"/>
      <c r="Z45" s="361"/>
      <c r="AA45" s="361"/>
      <c r="AB45" s="361"/>
      <c r="AC45" s="361"/>
      <c r="AD45" s="361"/>
      <c r="AE45" s="361"/>
      <c r="AF45" s="361"/>
      <c r="AG45" s="49"/>
    </row>
    <row r="46" spans="2:33" ht="21" customHeight="1" thickBot="1" x14ac:dyDescent="0.25">
      <c r="B46" s="357"/>
      <c r="C46" s="358"/>
      <c r="D46" s="358"/>
      <c r="E46" s="358"/>
      <c r="F46" s="358"/>
      <c r="G46" s="358"/>
      <c r="H46" s="362" t="s">
        <v>380</v>
      </c>
      <c r="I46" s="363"/>
      <c r="J46" s="363"/>
      <c r="K46" s="363"/>
      <c r="L46" s="363"/>
      <c r="M46" s="363"/>
      <c r="N46" s="363"/>
      <c r="O46" s="363"/>
      <c r="P46" s="364"/>
      <c r="Q46" s="364"/>
      <c r="R46" s="364"/>
      <c r="S46" s="364"/>
      <c r="T46" s="364"/>
      <c r="U46" s="364"/>
      <c r="V46" s="364"/>
      <c r="W46" s="364"/>
      <c r="X46" s="365" t="s">
        <v>1876</v>
      </c>
      <c r="Y46" s="366"/>
      <c r="Z46" s="366"/>
      <c r="AA46" s="366"/>
      <c r="AB46" s="367"/>
      <c r="AC46" s="367"/>
      <c r="AD46" s="367"/>
      <c r="AE46" s="367"/>
      <c r="AF46" s="368" t="s">
        <v>1884</v>
      </c>
      <c r="AG46" s="369"/>
    </row>
    <row r="47" spans="2:33" ht="4.5" customHeight="1" thickTop="1" x14ac:dyDescent="0.2"/>
  </sheetData>
  <mergeCells count="177">
    <mergeCell ref="B42:C42"/>
    <mergeCell ref="AA43:AB43"/>
    <mergeCell ref="D42:G42"/>
    <mergeCell ref="H42:S42"/>
    <mergeCell ref="T42:X42"/>
    <mergeCell ref="Y42:Z42"/>
    <mergeCell ref="AA42:AB42"/>
    <mergeCell ref="Y37:Z37"/>
    <mergeCell ref="T37:X37"/>
    <mergeCell ref="T41:X41"/>
    <mergeCell ref="AA40:AB40"/>
    <mergeCell ref="Y41:Z41"/>
    <mergeCell ref="AA39:AB39"/>
    <mergeCell ref="T43:X43"/>
    <mergeCell ref="Y43:Z43"/>
    <mergeCell ref="D39:G39"/>
    <mergeCell ref="H39:S39"/>
    <mergeCell ref="Y39:Z39"/>
    <mergeCell ref="T39:X39"/>
    <mergeCell ref="B45:G46"/>
    <mergeCell ref="H45:S45"/>
    <mergeCell ref="T45:AF45"/>
    <mergeCell ref="H46:O46"/>
    <mergeCell ref="P46:W46"/>
    <mergeCell ref="X46:AA46"/>
    <mergeCell ref="AB46:AE46"/>
    <mergeCell ref="AF46:AG46"/>
    <mergeCell ref="B43:C43"/>
    <mergeCell ref="D43:G43"/>
    <mergeCell ref="H43:S43"/>
    <mergeCell ref="H15:O15"/>
    <mergeCell ref="H16:O16"/>
    <mergeCell ref="H17:O17"/>
    <mergeCell ref="H18:O18"/>
    <mergeCell ref="AA41:AB41"/>
    <mergeCell ref="B40:C40"/>
    <mergeCell ref="D40:G40"/>
    <mergeCell ref="H40:S40"/>
    <mergeCell ref="T40:X40"/>
    <mergeCell ref="Y40:Z40"/>
    <mergeCell ref="B41:C41"/>
    <mergeCell ref="D41:G41"/>
    <mergeCell ref="H41:S41"/>
    <mergeCell ref="Y35:Z35"/>
    <mergeCell ref="H35:S35"/>
    <mergeCell ref="D33:G33"/>
    <mergeCell ref="H33:S33"/>
    <mergeCell ref="B39:C39"/>
    <mergeCell ref="AA37:AB37"/>
    <mergeCell ref="B36:C36"/>
    <mergeCell ref="D36:G36"/>
    <mergeCell ref="H36:S36"/>
    <mergeCell ref="T36:X36"/>
    <mergeCell ref="Y36:Z36"/>
    <mergeCell ref="B35:C35"/>
    <mergeCell ref="D35:G35"/>
    <mergeCell ref="AA36:AB36"/>
    <mergeCell ref="B37:C37"/>
    <mergeCell ref="D37:G37"/>
    <mergeCell ref="B38:C38"/>
    <mergeCell ref="D38:G38"/>
    <mergeCell ref="H38:S38"/>
    <mergeCell ref="T38:X38"/>
    <mergeCell ref="Y38:Z38"/>
    <mergeCell ref="AA38:AB38"/>
    <mergeCell ref="H37:S37"/>
    <mergeCell ref="Y33:Z33"/>
    <mergeCell ref="B30:C30"/>
    <mergeCell ref="D30:G30"/>
    <mergeCell ref="H30:S30"/>
    <mergeCell ref="D31:G31"/>
    <mergeCell ref="H31:S31"/>
    <mergeCell ref="Y31:Z31"/>
    <mergeCell ref="T35:X35"/>
    <mergeCell ref="AA33:AB33"/>
    <mergeCell ref="B32:C32"/>
    <mergeCell ref="D32:G32"/>
    <mergeCell ref="H32:S32"/>
    <mergeCell ref="T32:X32"/>
    <mergeCell ref="Y32:Z32"/>
    <mergeCell ref="AA32:AB32"/>
    <mergeCell ref="B33:C33"/>
    <mergeCell ref="T33:X33"/>
    <mergeCell ref="AA35:AB35"/>
    <mergeCell ref="B34:C34"/>
    <mergeCell ref="D34:G34"/>
    <mergeCell ref="H34:S34"/>
    <mergeCell ref="T34:X34"/>
    <mergeCell ref="Y34:Z34"/>
    <mergeCell ref="AA34:AB34"/>
    <mergeCell ref="B29:C29"/>
    <mergeCell ref="D29:G29"/>
    <mergeCell ref="Y29:Z29"/>
    <mergeCell ref="H29:S29"/>
    <mergeCell ref="T29:X29"/>
    <mergeCell ref="AA29:AB29"/>
    <mergeCell ref="AD28:AG28"/>
    <mergeCell ref="T31:X31"/>
    <mergeCell ref="Y30:Z30"/>
    <mergeCell ref="AA31:AB31"/>
    <mergeCell ref="T30:X30"/>
    <mergeCell ref="AA30:AB30"/>
    <mergeCell ref="B31:C31"/>
    <mergeCell ref="B26:G26"/>
    <mergeCell ref="H26:J26"/>
    <mergeCell ref="K26:S26"/>
    <mergeCell ref="T26:V26"/>
    <mergeCell ref="W26:AA26"/>
    <mergeCell ref="AB26:AG26"/>
    <mergeCell ref="B28:G28"/>
    <mergeCell ref="H28:S28"/>
    <mergeCell ref="T28:Z28"/>
    <mergeCell ref="AA28:AB28"/>
    <mergeCell ref="P17:AB17"/>
    <mergeCell ref="AC19:AG19"/>
    <mergeCell ref="P21:AB21"/>
    <mergeCell ref="B24:G25"/>
    <mergeCell ref="H24:I24"/>
    <mergeCell ref="J24:P24"/>
    <mergeCell ref="Q24:U24"/>
    <mergeCell ref="H22:O22"/>
    <mergeCell ref="P22:AB22"/>
    <mergeCell ref="H23:O23"/>
    <mergeCell ref="V24:Z24"/>
    <mergeCell ref="AA24:AG24"/>
    <mergeCell ref="H25:AG25"/>
    <mergeCell ref="B11:AG11"/>
    <mergeCell ref="B13:G23"/>
    <mergeCell ref="H14:O14"/>
    <mergeCell ref="P23:AB23"/>
    <mergeCell ref="AC23:AG23"/>
    <mergeCell ref="H13:AB13"/>
    <mergeCell ref="AC13:AG13"/>
    <mergeCell ref="H20:O20"/>
    <mergeCell ref="P20:AB20"/>
    <mergeCell ref="AC20:AG20"/>
    <mergeCell ref="AC21:AG21"/>
    <mergeCell ref="AC14:AG14"/>
    <mergeCell ref="P16:AB16"/>
    <mergeCell ref="P15:AB15"/>
    <mergeCell ref="P14:AB14"/>
    <mergeCell ref="AC16:AG16"/>
    <mergeCell ref="AC15:AG15"/>
    <mergeCell ref="AC22:AG22"/>
    <mergeCell ref="H19:O19"/>
    <mergeCell ref="H21:O21"/>
    <mergeCell ref="AC17:AG17"/>
    <mergeCell ref="P18:AB18"/>
    <mergeCell ref="AC18:AG18"/>
    <mergeCell ref="P19:AB19"/>
    <mergeCell ref="W4:Z4"/>
    <mergeCell ref="AA4:AG4"/>
    <mergeCell ref="B4:F4"/>
    <mergeCell ref="G4:K4"/>
    <mergeCell ref="M4:O4"/>
    <mergeCell ref="P4:V4"/>
    <mergeCell ref="M10:AG10"/>
    <mergeCell ref="M7:AG7"/>
    <mergeCell ref="M8:AG9"/>
    <mergeCell ref="B5:F6"/>
    <mergeCell ref="G5:K6"/>
    <mergeCell ref="M6:AG6"/>
    <mergeCell ref="B7:F7"/>
    <mergeCell ref="G7:K7"/>
    <mergeCell ref="B8:F8"/>
    <mergeCell ref="G8:K8"/>
    <mergeCell ref="B9:F10"/>
    <mergeCell ref="G9:K10"/>
    <mergeCell ref="C1:R1"/>
    <mergeCell ref="S1:AG1"/>
    <mergeCell ref="B3:F3"/>
    <mergeCell ref="G3:K3"/>
    <mergeCell ref="M3:O3"/>
    <mergeCell ref="P3:V3"/>
    <mergeCell ref="W3:Z3"/>
    <mergeCell ref="AA3:AD3"/>
    <mergeCell ref="AE3:AG3"/>
  </mergeCells>
  <phoneticPr fontId="6"/>
  <dataValidations count="1">
    <dataValidation type="list" allowBlank="1" showInputMessage="1" showErrorMessage="1" sqref="AC13:AG13" xr:uid="{00000000-0002-0000-0000-000000000000}">
      <formula1>"シルク,その他加工"</formula1>
    </dataValidation>
  </dataValidations>
  <pageMargins left="0.43307086614173229" right="0.43307086614173229" top="0.47244094488188981" bottom="0.47244094488188981" header="0.31496062992125984" footer="0.31496062992125984"/>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tabColor rgb="FFFFFF00"/>
  </sheetPr>
  <dimension ref="B1:AM47"/>
  <sheetViews>
    <sheetView view="pageBreakPreview" topLeftCell="A6" zoomScale="85" zoomScaleNormal="90" zoomScaleSheetLayoutView="85" workbookViewId="0">
      <selection activeCell="H14" sqref="H14:O19"/>
    </sheetView>
  </sheetViews>
  <sheetFormatPr defaultRowHeight="13.2" x14ac:dyDescent="0.2"/>
  <cols>
    <col min="1" max="1" width="0.44140625" customWidth="1"/>
    <col min="2" max="2" width="1.88671875" customWidth="1"/>
    <col min="3" max="3" width="1.21875" customWidth="1"/>
    <col min="4" max="4" width="3.33203125" customWidth="1"/>
    <col min="5" max="5" width="5" customWidth="1"/>
    <col min="6" max="6" width="2.109375" customWidth="1"/>
    <col min="7" max="7" width="3" customWidth="1"/>
    <col min="8" max="8" width="1" customWidth="1"/>
    <col min="9" max="9" width="4.44140625" customWidth="1"/>
    <col min="10" max="11" width="2.109375" customWidth="1"/>
    <col min="12" max="12" width="1.21875" customWidth="1"/>
    <col min="13" max="13" width="4.6640625" customWidth="1"/>
    <col min="14" max="14" width="2.6640625" customWidth="1"/>
    <col min="15" max="15" width="3.21875" customWidth="1"/>
    <col min="16" max="16" width="2.44140625" customWidth="1"/>
    <col min="17" max="17" width="2.6640625" customWidth="1"/>
    <col min="18" max="18" width="6" customWidth="1"/>
    <col min="19" max="19" width="4.109375" customWidth="1"/>
    <col min="20" max="20" width="4.33203125" customWidth="1"/>
    <col min="21" max="21" width="4.21875" customWidth="1"/>
    <col min="22" max="22" width="4.6640625" customWidth="1"/>
    <col min="23" max="25" width="2.44140625" customWidth="1"/>
    <col min="26" max="26" width="3.109375" customWidth="1"/>
    <col min="27" max="27" width="3.6640625" customWidth="1"/>
    <col min="28" max="28" width="3" customWidth="1"/>
    <col min="29" max="29" width="1.109375" customWidth="1"/>
    <col min="30" max="30" width="2.21875" customWidth="1"/>
    <col min="31" max="31" width="4.33203125" customWidth="1"/>
    <col min="32" max="33" width="1.77734375" customWidth="1"/>
    <col min="34" max="34" width="0.44140625" customWidth="1"/>
    <col min="35" max="35" width="1.77734375" customWidth="1"/>
    <col min="36" max="36" width="7.88671875" hidden="1" customWidth="1"/>
    <col min="37" max="37" width="14" customWidth="1"/>
    <col min="38" max="38" width="7.44140625" customWidth="1"/>
    <col min="42" max="42" width="9.77734375" customWidth="1"/>
    <col min="43" max="43" width="77.109375" customWidth="1"/>
    <col min="44" max="44" width="15" customWidth="1"/>
  </cols>
  <sheetData>
    <row r="1" spans="2:39" ht="30.75" customHeight="1" x14ac:dyDescent="0.2">
      <c r="B1" s="3" t="s">
        <v>3569</v>
      </c>
      <c r="C1" s="187" t="s">
        <v>3469</v>
      </c>
      <c r="D1" s="187"/>
      <c r="E1" s="187"/>
      <c r="F1" s="187"/>
      <c r="G1" s="187"/>
      <c r="H1" s="187"/>
      <c r="I1" s="187"/>
      <c r="J1" s="187"/>
      <c r="K1" s="187"/>
      <c r="L1" s="187"/>
      <c r="M1" s="187"/>
      <c r="N1" s="187"/>
      <c r="O1" s="187"/>
      <c r="P1" s="187"/>
      <c r="Q1" s="187"/>
      <c r="R1" s="187"/>
      <c r="S1" s="188" t="s">
        <v>404</v>
      </c>
      <c r="T1" s="188"/>
      <c r="U1" s="188"/>
      <c r="V1" s="188"/>
      <c r="W1" s="188"/>
      <c r="X1" s="188"/>
      <c r="Y1" s="188"/>
      <c r="Z1" s="188"/>
      <c r="AA1" s="188"/>
      <c r="AB1" s="188"/>
      <c r="AC1" s="188"/>
      <c r="AD1" s="188"/>
      <c r="AE1" s="188"/>
      <c r="AF1" s="188"/>
      <c r="AG1" s="188"/>
      <c r="AK1" s="47" t="s">
        <v>1852</v>
      </c>
    </row>
    <row r="2" spans="2:39" ht="3" customHeight="1" thickBot="1" x14ac:dyDescent="0.25">
      <c r="B2" s="3"/>
      <c r="C2" s="4"/>
      <c r="D2" s="4"/>
      <c r="E2" s="4"/>
      <c r="F2" s="4"/>
      <c r="G2" s="4"/>
      <c r="H2" s="4"/>
      <c r="I2" s="4"/>
      <c r="J2" s="4"/>
      <c r="K2" s="4"/>
      <c r="L2" s="4"/>
      <c r="M2" s="4"/>
      <c r="N2" s="4"/>
      <c r="O2" s="4"/>
      <c r="P2" s="4"/>
      <c r="Q2" s="4"/>
      <c r="R2" s="4"/>
      <c r="S2" s="5"/>
      <c r="T2" s="5"/>
      <c r="U2" s="5"/>
      <c r="V2" s="5"/>
      <c r="W2" s="5"/>
      <c r="X2" s="5"/>
      <c r="Y2" s="5"/>
      <c r="Z2" s="5"/>
      <c r="AA2" s="5"/>
      <c r="AB2" s="5"/>
      <c r="AC2" s="5"/>
      <c r="AD2" s="5"/>
      <c r="AE2" s="5"/>
      <c r="AF2" s="5"/>
      <c r="AG2" s="5"/>
    </row>
    <row r="3" spans="2:39" ht="30" customHeight="1" x14ac:dyDescent="0.2">
      <c r="B3" s="189" t="s">
        <v>325</v>
      </c>
      <c r="C3" s="190"/>
      <c r="D3" s="190"/>
      <c r="E3" s="190"/>
      <c r="F3" s="191"/>
      <c r="G3" s="192" t="s">
        <v>326</v>
      </c>
      <c r="H3" s="190"/>
      <c r="I3" s="190"/>
      <c r="J3" s="190"/>
      <c r="K3" s="193"/>
      <c r="L3" s="6"/>
      <c r="M3" s="194" t="s">
        <v>327</v>
      </c>
      <c r="N3" s="195"/>
      <c r="O3" s="196"/>
      <c r="P3" s="197" t="s">
        <v>354</v>
      </c>
      <c r="Q3" s="198"/>
      <c r="R3" s="198"/>
      <c r="S3" s="198"/>
      <c r="T3" s="198"/>
      <c r="U3" s="198"/>
      <c r="V3" s="199"/>
      <c r="W3" s="200" t="s">
        <v>328</v>
      </c>
      <c r="X3" s="201"/>
      <c r="Y3" s="201"/>
      <c r="Z3" s="202"/>
      <c r="AA3" s="203" t="s">
        <v>1883</v>
      </c>
      <c r="AB3" s="204"/>
      <c r="AC3" s="204"/>
      <c r="AD3" s="204"/>
      <c r="AE3" s="205" t="s">
        <v>385</v>
      </c>
      <c r="AF3" s="205"/>
      <c r="AG3" s="206"/>
      <c r="AJ3" t="s">
        <v>3467</v>
      </c>
    </row>
    <row r="4" spans="2:39" ht="23.25" customHeight="1" thickBot="1" x14ac:dyDescent="0.25">
      <c r="B4" s="213" t="s">
        <v>329</v>
      </c>
      <c r="C4" s="214"/>
      <c r="D4" s="214"/>
      <c r="E4" s="214"/>
      <c r="F4" s="215"/>
      <c r="G4" s="216"/>
      <c r="H4" s="217"/>
      <c r="I4" s="217"/>
      <c r="J4" s="217"/>
      <c r="K4" s="218"/>
      <c r="L4" s="7"/>
      <c r="M4" s="219" t="s">
        <v>330</v>
      </c>
      <c r="N4" s="220"/>
      <c r="O4" s="221"/>
      <c r="P4" s="222"/>
      <c r="Q4" s="223"/>
      <c r="R4" s="223"/>
      <c r="S4" s="223"/>
      <c r="T4" s="223"/>
      <c r="U4" s="223"/>
      <c r="V4" s="224"/>
      <c r="W4" s="207" t="s">
        <v>331</v>
      </c>
      <c r="X4" s="208"/>
      <c r="Y4" s="208"/>
      <c r="Z4" s="209"/>
      <c r="AA4" s="210"/>
      <c r="AB4" s="211"/>
      <c r="AC4" s="211"/>
      <c r="AD4" s="211"/>
      <c r="AE4" s="211"/>
      <c r="AF4" s="211"/>
      <c r="AG4" s="212"/>
      <c r="AJ4" t="s">
        <v>3469</v>
      </c>
    </row>
    <row r="5" spans="2:39" ht="4.5" customHeight="1" x14ac:dyDescent="0.2">
      <c r="B5" s="213" t="s">
        <v>332</v>
      </c>
      <c r="C5" s="214"/>
      <c r="D5" s="214"/>
      <c r="E5" s="214"/>
      <c r="F5" s="215"/>
      <c r="G5" s="237"/>
      <c r="H5" s="238"/>
      <c r="I5" s="238"/>
      <c r="J5" s="238"/>
      <c r="K5" s="239"/>
      <c r="L5" s="7"/>
      <c r="M5" s="8"/>
      <c r="N5" s="8"/>
      <c r="O5" s="8"/>
      <c r="P5" s="8"/>
      <c r="Q5" s="9"/>
      <c r="R5" s="9"/>
      <c r="S5" s="9"/>
      <c r="T5" s="9"/>
      <c r="U5" s="9"/>
      <c r="V5" s="9"/>
      <c r="W5" s="10"/>
      <c r="X5" s="10"/>
      <c r="Y5" s="10"/>
      <c r="Z5" s="10"/>
      <c r="AA5" s="11"/>
      <c r="AB5" s="11"/>
      <c r="AC5" s="11"/>
      <c r="AD5" s="11"/>
      <c r="AE5" s="11"/>
      <c r="AF5" s="11"/>
      <c r="AG5" s="11"/>
      <c r="AJ5" t="s">
        <v>3470</v>
      </c>
    </row>
    <row r="6" spans="2:39" ht="19.5" customHeight="1" x14ac:dyDescent="0.2">
      <c r="B6" s="234"/>
      <c r="C6" s="235"/>
      <c r="D6" s="235"/>
      <c r="E6" s="235"/>
      <c r="F6" s="236"/>
      <c r="G6" s="240"/>
      <c r="H6" s="241"/>
      <c r="I6" s="241"/>
      <c r="J6" s="241"/>
      <c r="K6" s="242"/>
      <c r="L6" s="7"/>
      <c r="M6" s="243" t="s">
        <v>333</v>
      </c>
      <c r="N6" s="244"/>
      <c r="O6" s="244"/>
      <c r="P6" s="244"/>
      <c r="Q6" s="244"/>
      <c r="R6" s="244"/>
      <c r="S6" s="244"/>
      <c r="T6" s="244"/>
      <c r="U6" s="244"/>
      <c r="V6" s="244"/>
      <c r="W6" s="244"/>
      <c r="X6" s="244"/>
      <c r="Y6" s="244"/>
      <c r="Z6" s="244"/>
      <c r="AA6" s="244"/>
      <c r="AB6" s="244"/>
      <c r="AC6" s="244"/>
      <c r="AD6" s="244"/>
      <c r="AE6" s="244"/>
      <c r="AF6" s="244"/>
      <c r="AG6" s="245"/>
      <c r="AJ6" t="s">
        <v>3472</v>
      </c>
    </row>
    <row r="7" spans="2:39" ht="23.25" customHeight="1" x14ac:dyDescent="0.2">
      <c r="B7" s="246" t="s">
        <v>334</v>
      </c>
      <c r="C7" s="247"/>
      <c r="D7" s="247"/>
      <c r="E7" s="247"/>
      <c r="F7" s="248"/>
      <c r="G7" s="249"/>
      <c r="H7" s="250"/>
      <c r="I7" s="250"/>
      <c r="J7" s="250"/>
      <c r="K7" s="251"/>
      <c r="L7" s="7"/>
      <c r="M7" s="400"/>
      <c r="N7" s="401"/>
      <c r="O7" s="401"/>
      <c r="P7" s="401"/>
      <c r="Q7" s="401"/>
      <c r="R7" s="401"/>
      <c r="S7" s="401"/>
      <c r="T7" s="401"/>
      <c r="U7" s="401"/>
      <c r="V7" s="401"/>
      <c r="W7" s="401"/>
      <c r="X7" s="401"/>
      <c r="Y7" s="401"/>
      <c r="Z7" s="401"/>
      <c r="AA7" s="401"/>
      <c r="AB7" s="401"/>
      <c r="AC7" s="401"/>
      <c r="AD7" s="401"/>
      <c r="AE7" s="401"/>
      <c r="AF7" s="401"/>
      <c r="AG7" s="402"/>
      <c r="AJ7" t="s">
        <v>3473</v>
      </c>
    </row>
    <row r="8" spans="2:39" ht="23.25" customHeight="1" x14ac:dyDescent="0.2">
      <c r="B8" s="246" t="s">
        <v>335</v>
      </c>
      <c r="C8" s="247"/>
      <c r="D8" s="247"/>
      <c r="E8" s="247"/>
      <c r="F8" s="248"/>
      <c r="G8" s="252"/>
      <c r="H8" s="253"/>
      <c r="I8" s="253"/>
      <c r="J8" s="253"/>
      <c r="K8" s="254"/>
      <c r="L8" s="7"/>
      <c r="M8" s="400"/>
      <c r="N8" s="401"/>
      <c r="O8" s="401"/>
      <c r="P8" s="401"/>
      <c r="Q8" s="401"/>
      <c r="R8" s="401"/>
      <c r="S8" s="401"/>
      <c r="T8" s="401"/>
      <c r="U8" s="401"/>
      <c r="V8" s="401"/>
      <c r="W8" s="401"/>
      <c r="X8" s="401"/>
      <c r="Y8" s="401"/>
      <c r="Z8" s="401"/>
      <c r="AA8" s="401"/>
      <c r="AB8" s="401"/>
      <c r="AC8" s="401"/>
      <c r="AD8" s="401"/>
      <c r="AE8" s="401"/>
      <c r="AF8" s="401"/>
      <c r="AG8" s="402"/>
      <c r="AJ8" t="s">
        <v>3476</v>
      </c>
    </row>
    <row r="9" spans="2:39" ht="8.25" customHeight="1" x14ac:dyDescent="0.2">
      <c r="B9" s="255" t="s">
        <v>336</v>
      </c>
      <c r="C9" s="256"/>
      <c r="D9" s="256"/>
      <c r="E9" s="256"/>
      <c r="F9" s="257"/>
      <c r="G9" s="261"/>
      <c r="H9" s="262"/>
      <c r="I9" s="262"/>
      <c r="J9" s="262"/>
      <c r="K9" s="263"/>
      <c r="L9" s="7"/>
      <c r="M9" s="400"/>
      <c r="N9" s="401"/>
      <c r="O9" s="401"/>
      <c r="P9" s="401"/>
      <c r="Q9" s="401"/>
      <c r="R9" s="401"/>
      <c r="S9" s="401"/>
      <c r="T9" s="401"/>
      <c r="U9" s="401"/>
      <c r="V9" s="401"/>
      <c r="W9" s="401"/>
      <c r="X9" s="401"/>
      <c r="Y9" s="401"/>
      <c r="Z9" s="401"/>
      <c r="AA9" s="401"/>
      <c r="AB9" s="401"/>
      <c r="AC9" s="401"/>
      <c r="AD9" s="401"/>
      <c r="AE9" s="401"/>
      <c r="AF9" s="401"/>
      <c r="AG9" s="402"/>
      <c r="AJ9" t="s">
        <v>3477</v>
      </c>
    </row>
    <row r="10" spans="2:39" ht="15" customHeight="1" thickBot="1" x14ac:dyDescent="0.25">
      <c r="B10" s="258"/>
      <c r="C10" s="259"/>
      <c r="D10" s="259"/>
      <c r="E10" s="259"/>
      <c r="F10" s="260"/>
      <c r="G10" s="264"/>
      <c r="H10" s="265"/>
      <c r="I10" s="265"/>
      <c r="J10" s="265"/>
      <c r="K10" s="266"/>
      <c r="L10" s="7"/>
      <c r="M10" s="225" t="s">
        <v>337</v>
      </c>
      <c r="N10" s="226"/>
      <c r="O10" s="226"/>
      <c r="P10" s="226"/>
      <c r="Q10" s="226"/>
      <c r="R10" s="226"/>
      <c r="S10" s="226"/>
      <c r="T10" s="226"/>
      <c r="U10" s="226"/>
      <c r="V10" s="226"/>
      <c r="W10" s="226"/>
      <c r="X10" s="226"/>
      <c r="Y10" s="226"/>
      <c r="Z10" s="226"/>
      <c r="AA10" s="226"/>
      <c r="AB10" s="226"/>
      <c r="AC10" s="226"/>
      <c r="AD10" s="226"/>
      <c r="AE10" s="226"/>
      <c r="AF10" s="226"/>
      <c r="AG10" s="227"/>
      <c r="AJ10" t="s">
        <v>3479</v>
      </c>
    </row>
    <row r="11" spans="2:39" ht="15.75" customHeight="1" x14ac:dyDescent="0.2">
      <c r="B11" s="267" t="str">
        <f>メーカー加工場!T70</f>
        <v>※基本1週間キープ  ※14:00までのFAX（0120-32-1064）発注→当日出荷、翌日着。（土曜日も同様）</v>
      </c>
      <c r="C11" s="267"/>
      <c r="D11" s="267"/>
      <c r="E11" s="267"/>
      <c r="F11" s="267"/>
      <c r="G11" s="267"/>
      <c r="H11" s="267"/>
      <c r="I11" s="267"/>
      <c r="J11" s="267"/>
      <c r="K11" s="267"/>
      <c r="L11" s="267"/>
      <c r="M11" s="267"/>
      <c r="N11" s="267"/>
      <c r="O11" s="267"/>
      <c r="P11" s="267"/>
      <c r="Q11" s="267"/>
      <c r="R11" s="267"/>
      <c r="S11" s="267"/>
      <c r="T11" s="267"/>
      <c r="U11" s="267"/>
      <c r="V11" s="267"/>
      <c r="W11" s="267"/>
      <c r="X11" s="267"/>
      <c r="Y11" s="267"/>
      <c r="Z11" s="267"/>
      <c r="AA11" s="267"/>
      <c r="AB11" s="267"/>
      <c r="AC11" s="267"/>
      <c r="AD11" s="267"/>
      <c r="AE11" s="267"/>
      <c r="AF11" s="267"/>
      <c r="AG11" s="267"/>
      <c r="AJ11" t="s">
        <v>3480</v>
      </c>
    </row>
    <row r="12" spans="2:39" ht="6" customHeight="1" thickBot="1" x14ac:dyDescent="0.25">
      <c r="B12" s="12"/>
      <c r="C12" s="12"/>
      <c r="D12" s="12"/>
      <c r="E12" s="12"/>
      <c r="F12" s="12"/>
      <c r="G12" s="12"/>
      <c r="H12" s="12"/>
      <c r="I12" s="12"/>
      <c r="J12" s="12"/>
      <c r="K12" s="12"/>
      <c r="L12" s="12"/>
      <c r="M12" s="12"/>
      <c r="N12" s="12"/>
      <c r="O12" s="12"/>
      <c r="P12" s="12"/>
      <c r="Q12" s="12"/>
      <c r="R12" s="12"/>
      <c r="S12" s="12"/>
      <c r="T12" s="12"/>
      <c r="U12" s="12"/>
      <c r="V12" s="12"/>
      <c r="W12" s="12"/>
      <c r="X12" s="12"/>
      <c r="Y12" s="12"/>
      <c r="Z12" s="12"/>
      <c r="AA12" s="12"/>
      <c r="AB12" s="12"/>
      <c r="AC12" s="12"/>
      <c r="AD12" s="12"/>
      <c r="AE12" s="12"/>
      <c r="AF12" s="12"/>
      <c r="AG12" s="12"/>
      <c r="AJ12" t="s">
        <v>3482</v>
      </c>
    </row>
    <row r="13" spans="2:39" ht="18" customHeight="1" x14ac:dyDescent="0.2">
      <c r="B13" s="268" t="s">
        <v>338</v>
      </c>
      <c r="C13" s="269"/>
      <c r="D13" s="269"/>
      <c r="E13" s="269"/>
      <c r="F13" s="269"/>
      <c r="G13" s="270"/>
      <c r="H13" s="282" t="s">
        <v>390</v>
      </c>
      <c r="I13" s="283"/>
      <c r="J13" s="283"/>
      <c r="K13" s="283"/>
      <c r="L13" s="283"/>
      <c r="M13" s="283"/>
      <c r="N13" s="283"/>
      <c r="O13" s="283"/>
      <c r="P13" s="283"/>
      <c r="Q13" s="283"/>
      <c r="R13" s="283"/>
      <c r="S13" s="283"/>
      <c r="T13" s="283"/>
      <c r="U13" s="283"/>
      <c r="V13" s="283"/>
      <c r="W13" s="283"/>
      <c r="X13" s="283"/>
      <c r="Y13" s="283"/>
      <c r="Z13" s="283"/>
      <c r="AA13" s="283"/>
      <c r="AB13" s="283"/>
      <c r="AC13" s="284" t="s">
        <v>2691</v>
      </c>
      <c r="AD13" s="284"/>
      <c r="AE13" s="284"/>
      <c r="AF13" s="284"/>
      <c r="AG13" s="285"/>
      <c r="AJ13" t="s">
        <v>3483</v>
      </c>
      <c r="AK13" s="383" t="s">
        <v>1853</v>
      </c>
      <c r="AL13" s="383"/>
      <c r="AM13" s="383"/>
    </row>
    <row r="14" spans="2:39" ht="18" customHeight="1" x14ac:dyDescent="0.2">
      <c r="B14" s="271"/>
      <c r="C14" s="272"/>
      <c r="D14" s="272"/>
      <c r="E14" s="272"/>
      <c r="F14" s="272"/>
      <c r="G14" s="273"/>
      <c r="H14" s="274" t="s">
        <v>389</v>
      </c>
      <c r="I14" s="275"/>
      <c r="J14" s="275"/>
      <c r="K14" s="275"/>
      <c r="L14" s="275"/>
      <c r="M14" s="275"/>
      <c r="N14" s="275"/>
      <c r="O14" s="275"/>
      <c r="P14" s="288" t="s">
        <v>401</v>
      </c>
      <c r="Q14" s="287"/>
      <c r="R14" s="287"/>
      <c r="S14" s="287"/>
      <c r="T14" s="287"/>
      <c r="U14" s="287"/>
      <c r="V14" s="287"/>
      <c r="W14" s="287"/>
      <c r="X14" s="287"/>
      <c r="Y14" s="287"/>
      <c r="Z14" s="287"/>
      <c r="AA14" s="287"/>
      <c r="AB14" s="289"/>
      <c r="AC14" s="290" t="s">
        <v>386</v>
      </c>
      <c r="AD14" s="290"/>
      <c r="AE14" s="290"/>
      <c r="AF14" s="290"/>
      <c r="AG14" s="291"/>
      <c r="AJ14" t="s">
        <v>3484</v>
      </c>
      <c r="AK14" s="383"/>
      <c r="AL14" s="383"/>
      <c r="AM14" s="383"/>
    </row>
    <row r="15" spans="2:39" ht="18" customHeight="1" x14ac:dyDescent="0.2">
      <c r="B15" s="271"/>
      <c r="C15" s="272"/>
      <c r="D15" s="272"/>
      <c r="E15" s="272"/>
      <c r="F15" s="272"/>
      <c r="G15" s="273"/>
      <c r="H15" s="274" t="str">
        <f>メーカー加工場!I88</f>
        <v xml:space="preserve"> □ライブカラー(株)</v>
      </c>
      <c r="I15" s="275"/>
      <c r="J15" s="275"/>
      <c r="K15" s="275"/>
      <c r="L15" s="275"/>
      <c r="M15" s="275"/>
      <c r="N15" s="275"/>
      <c r="O15" s="275"/>
      <c r="P15" s="288" t="str">
        <f>メーカー加工場!J88</f>
        <v xml:space="preserve"> 〒761-8058　香川県高松市勅使町597-1 グローバル高松1F</v>
      </c>
      <c r="Q15" s="287"/>
      <c r="R15" s="287"/>
      <c r="S15" s="287"/>
      <c r="T15" s="287"/>
      <c r="U15" s="287"/>
      <c r="V15" s="287"/>
      <c r="W15" s="287"/>
      <c r="X15" s="287"/>
      <c r="Y15" s="287"/>
      <c r="Z15" s="287"/>
      <c r="AA15" s="287"/>
      <c r="AB15" s="289"/>
      <c r="AC15" s="290" t="str">
        <f>メーカー加工場!K88</f>
        <v>087-816-8151</v>
      </c>
      <c r="AD15" s="290"/>
      <c r="AE15" s="290"/>
      <c r="AF15" s="290"/>
      <c r="AG15" s="291"/>
      <c r="AJ15" t="s">
        <v>3485</v>
      </c>
    </row>
    <row r="16" spans="2:39" ht="18" customHeight="1" x14ac:dyDescent="0.2">
      <c r="B16" s="271"/>
      <c r="C16" s="272"/>
      <c r="D16" s="272"/>
      <c r="E16" s="272"/>
      <c r="F16" s="272"/>
      <c r="G16" s="273"/>
      <c r="H16" s="286" t="str">
        <f>メーカー加工場!I89</f>
        <v xml:space="preserve"> □(株)テルミ・エンタープライズ</v>
      </c>
      <c r="I16" s="287"/>
      <c r="J16" s="287"/>
      <c r="K16" s="287"/>
      <c r="L16" s="287"/>
      <c r="M16" s="287"/>
      <c r="N16" s="287"/>
      <c r="O16" s="289"/>
      <c r="P16" s="288" t="str">
        <f>メーカー加工場!J89</f>
        <v xml:space="preserve"> 〒761-0701  香川県木田郡三木町池戸800-2</v>
      </c>
      <c r="Q16" s="287"/>
      <c r="R16" s="287"/>
      <c r="S16" s="287"/>
      <c r="T16" s="287"/>
      <c r="U16" s="287"/>
      <c r="V16" s="287"/>
      <c r="W16" s="287"/>
      <c r="X16" s="287"/>
      <c r="Y16" s="287"/>
      <c r="Z16" s="287"/>
      <c r="AA16" s="287"/>
      <c r="AB16" s="289"/>
      <c r="AC16" s="398" t="str">
        <f>メーカー加工場!K89</f>
        <v>087-840-2055</v>
      </c>
      <c r="AD16" s="290"/>
      <c r="AE16" s="290"/>
      <c r="AF16" s="290"/>
      <c r="AG16" s="291"/>
      <c r="AJ16" t="s">
        <v>3487</v>
      </c>
    </row>
    <row r="17" spans="2:39" ht="18" customHeight="1" x14ac:dyDescent="0.2">
      <c r="B17" s="271"/>
      <c r="C17" s="272"/>
      <c r="D17" s="272"/>
      <c r="E17" s="272"/>
      <c r="F17" s="272"/>
      <c r="G17" s="273"/>
      <c r="H17" s="286" t="str">
        <f>メーカー加工場!I90</f>
        <v xml:space="preserve"> □(株)尾崎スクリーン</v>
      </c>
      <c r="I17" s="287"/>
      <c r="J17" s="287"/>
      <c r="K17" s="287"/>
      <c r="L17" s="287"/>
      <c r="M17" s="287"/>
      <c r="N17" s="287"/>
      <c r="O17" s="289"/>
      <c r="P17" s="288" t="str">
        <f>メーカー加工場!J90</f>
        <v xml:space="preserve"> 〒762-0003  香川県坂出市久米町1-14-14-3F</v>
      </c>
      <c r="Q17" s="287"/>
      <c r="R17" s="287"/>
      <c r="S17" s="287"/>
      <c r="T17" s="287"/>
      <c r="U17" s="287"/>
      <c r="V17" s="287"/>
      <c r="W17" s="287"/>
      <c r="X17" s="287"/>
      <c r="Y17" s="287"/>
      <c r="Z17" s="287"/>
      <c r="AA17" s="287"/>
      <c r="AB17" s="289"/>
      <c r="AC17" s="398" t="str">
        <f>メーカー加工場!K90</f>
        <v>0877-59-0308</v>
      </c>
      <c r="AD17" s="290"/>
      <c r="AE17" s="290"/>
      <c r="AF17" s="290"/>
      <c r="AG17" s="291"/>
      <c r="AJ17" t="s">
        <v>3488</v>
      </c>
    </row>
    <row r="18" spans="2:39" ht="18" customHeight="1" x14ac:dyDescent="0.2">
      <c r="B18" s="271"/>
      <c r="C18" s="272"/>
      <c r="D18" s="272"/>
      <c r="E18" s="272"/>
      <c r="F18" s="272"/>
      <c r="G18" s="273"/>
      <c r="H18" s="286" t="str">
        <f>メーカー加工場!I91</f>
        <v xml:space="preserve"> □(株)トランスアート</v>
      </c>
      <c r="I18" s="287"/>
      <c r="J18" s="287"/>
      <c r="K18" s="287"/>
      <c r="L18" s="287"/>
      <c r="M18" s="287"/>
      <c r="N18" s="287"/>
      <c r="O18" s="289"/>
      <c r="P18" s="288" t="str">
        <f>メーカー加工場!J91</f>
        <v> 〒601-8363  京都府京都市南区吉祥院嶋野間詰町26-2</v>
      </c>
      <c r="Q18" s="287"/>
      <c r="R18" s="287"/>
      <c r="S18" s="287"/>
      <c r="T18" s="287"/>
      <c r="U18" s="287"/>
      <c r="V18" s="287"/>
      <c r="W18" s="287"/>
      <c r="X18" s="287"/>
      <c r="Y18" s="287"/>
      <c r="Z18" s="287"/>
      <c r="AA18" s="287"/>
      <c r="AB18" s="289"/>
      <c r="AC18" s="398" t="str">
        <f>メーカー加工場!K91</f>
        <v>075-661-2181</v>
      </c>
      <c r="AD18" s="290"/>
      <c r="AE18" s="290"/>
      <c r="AF18" s="290"/>
      <c r="AG18" s="291"/>
      <c r="AJ18" t="s">
        <v>3484</v>
      </c>
    </row>
    <row r="19" spans="2:39" ht="18" customHeight="1" x14ac:dyDescent="0.2">
      <c r="B19" s="271"/>
      <c r="C19" s="272"/>
      <c r="D19" s="272"/>
      <c r="E19" s="272"/>
      <c r="F19" s="272"/>
      <c r="G19" s="273"/>
      <c r="H19" s="286" t="str">
        <f>メーカー加工場!I92</f>
        <v xml:space="preserve"> □(有)ツチヤワークス</v>
      </c>
      <c r="I19" s="287"/>
      <c r="J19" s="287"/>
      <c r="K19" s="287"/>
      <c r="L19" s="287"/>
      <c r="M19" s="287"/>
      <c r="N19" s="287"/>
      <c r="O19" s="289"/>
      <c r="P19" s="288" t="str">
        <f>メーカー加工場!J92</f>
        <v xml:space="preserve"> 〒760-0061　香川県高松市築地町3-8</v>
      </c>
      <c r="Q19" s="287"/>
      <c r="R19" s="287"/>
      <c r="S19" s="287"/>
      <c r="T19" s="287"/>
      <c r="U19" s="287"/>
      <c r="V19" s="287"/>
      <c r="W19" s="287"/>
      <c r="X19" s="287"/>
      <c r="Y19" s="287"/>
      <c r="Z19" s="287"/>
      <c r="AA19" s="287"/>
      <c r="AB19" s="289"/>
      <c r="AC19" s="398" t="str">
        <f>メーカー加工場!K92</f>
        <v>087-823-0670</v>
      </c>
      <c r="AD19" s="290"/>
      <c r="AE19" s="290"/>
      <c r="AF19" s="290"/>
      <c r="AG19" s="291"/>
      <c r="AJ19" t="s">
        <v>3490</v>
      </c>
    </row>
    <row r="20" spans="2:39" ht="18" customHeight="1" x14ac:dyDescent="0.2">
      <c r="B20" s="271"/>
      <c r="C20" s="272"/>
      <c r="D20" s="272"/>
      <c r="E20" s="272"/>
      <c r="F20" s="272"/>
      <c r="G20" s="273"/>
      <c r="H20" s="286" t="str">
        <f>メーカー加工場!I93</f>
        <v xml:space="preserve"> □プロテックス・アパレル(株)</v>
      </c>
      <c r="I20" s="287"/>
      <c r="J20" s="287"/>
      <c r="K20" s="287"/>
      <c r="L20" s="287"/>
      <c r="M20" s="287"/>
      <c r="N20" s="287"/>
      <c r="O20" s="289"/>
      <c r="P20" s="288" t="str">
        <f>メーカー加工場!J93</f>
        <v xml:space="preserve"> 〒838-0226  福岡県朝倉郡筑前町中牟田1175-1</v>
      </c>
      <c r="Q20" s="287"/>
      <c r="R20" s="287"/>
      <c r="S20" s="287"/>
      <c r="T20" s="287"/>
      <c r="U20" s="287"/>
      <c r="V20" s="287"/>
      <c r="W20" s="287"/>
      <c r="X20" s="287"/>
      <c r="Y20" s="287"/>
      <c r="Z20" s="287"/>
      <c r="AA20" s="287"/>
      <c r="AB20" s="289"/>
      <c r="AC20" s="398" t="str">
        <f>メーカー加工場!K93</f>
        <v>0946-42-8777</v>
      </c>
      <c r="AD20" s="290"/>
      <c r="AE20" s="290"/>
      <c r="AF20" s="290"/>
      <c r="AG20" s="291"/>
      <c r="AJ20" t="s">
        <v>3491</v>
      </c>
    </row>
    <row r="21" spans="2:39" ht="18" customHeight="1" x14ac:dyDescent="0.2">
      <c r="B21" s="271"/>
      <c r="C21" s="272"/>
      <c r="D21" s="272"/>
      <c r="E21" s="272"/>
      <c r="F21" s="272"/>
      <c r="G21" s="273"/>
      <c r="H21" s="286" t="str">
        <f>メーカー加工場!I94</f>
        <v xml:space="preserve"> □(株)ジャスト</v>
      </c>
      <c r="I21" s="287"/>
      <c r="J21" s="287"/>
      <c r="K21" s="287"/>
      <c r="L21" s="287"/>
      <c r="M21" s="287"/>
      <c r="N21" s="287"/>
      <c r="O21" s="289"/>
      <c r="P21" s="288" t="str">
        <f>メーカー加工場!J94</f>
        <v xml:space="preserve"> 〒711-0907  岡山県倉敷市児島上の町1-8-8</v>
      </c>
      <c r="Q21" s="287"/>
      <c r="R21" s="287"/>
      <c r="S21" s="287"/>
      <c r="T21" s="287"/>
      <c r="U21" s="287"/>
      <c r="V21" s="287"/>
      <c r="W21" s="287"/>
      <c r="X21" s="287"/>
      <c r="Y21" s="287"/>
      <c r="Z21" s="287"/>
      <c r="AA21" s="287"/>
      <c r="AB21" s="289"/>
      <c r="AC21" s="398" t="str">
        <f>メーカー加工場!K94</f>
        <v>086-472-7514</v>
      </c>
      <c r="AD21" s="290"/>
      <c r="AE21" s="290"/>
      <c r="AF21" s="290"/>
      <c r="AG21" s="291"/>
      <c r="AJ21" t="s">
        <v>3493</v>
      </c>
    </row>
    <row r="22" spans="2:39" ht="18" customHeight="1" x14ac:dyDescent="0.2">
      <c r="B22" s="271"/>
      <c r="C22" s="272"/>
      <c r="D22" s="272"/>
      <c r="E22" s="272"/>
      <c r="F22" s="272"/>
      <c r="G22" s="273"/>
      <c r="H22" s="286" t="str">
        <f>メーカー加工場!I95</f>
        <v xml:space="preserve"> -</v>
      </c>
      <c r="I22" s="287"/>
      <c r="J22" s="287"/>
      <c r="K22" s="287"/>
      <c r="L22" s="287"/>
      <c r="M22" s="287"/>
      <c r="N22" s="287"/>
      <c r="O22" s="289"/>
      <c r="P22" s="288" t="str">
        <f>メーカー加工場!J95</f>
        <v xml:space="preserve"> -</v>
      </c>
      <c r="Q22" s="287"/>
      <c r="R22" s="287"/>
      <c r="S22" s="287"/>
      <c r="T22" s="287"/>
      <c r="U22" s="287"/>
      <c r="V22" s="287"/>
      <c r="W22" s="287"/>
      <c r="X22" s="287"/>
      <c r="Y22" s="287"/>
      <c r="Z22" s="287"/>
      <c r="AA22" s="287"/>
      <c r="AB22" s="289"/>
      <c r="AC22" s="398" t="str">
        <f>メーカー加工場!K95</f>
        <v xml:space="preserve"> -</v>
      </c>
      <c r="AD22" s="290"/>
      <c r="AE22" s="290"/>
      <c r="AF22" s="290"/>
      <c r="AG22" s="291"/>
      <c r="AJ22" t="s">
        <v>3462</v>
      </c>
    </row>
    <row r="23" spans="2:39" ht="18" customHeight="1" x14ac:dyDescent="0.2">
      <c r="B23" s="271"/>
      <c r="C23" s="272"/>
      <c r="D23" s="272"/>
      <c r="E23" s="272"/>
      <c r="F23" s="272"/>
      <c r="G23" s="273"/>
      <c r="H23" s="304" t="str">
        <f>メーカー加工場!I96</f>
        <v xml:space="preserve"> -</v>
      </c>
      <c r="I23" s="277"/>
      <c r="J23" s="277"/>
      <c r="K23" s="277"/>
      <c r="L23" s="277"/>
      <c r="M23" s="277"/>
      <c r="N23" s="277"/>
      <c r="O23" s="278"/>
      <c r="P23" s="276" t="str">
        <f>メーカー加工場!J96</f>
        <v xml:space="preserve"> -</v>
      </c>
      <c r="Q23" s="277"/>
      <c r="R23" s="277"/>
      <c r="S23" s="277"/>
      <c r="T23" s="277"/>
      <c r="U23" s="277"/>
      <c r="V23" s="277"/>
      <c r="W23" s="277"/>
      <c r="X23" s="277"/>
      <c r="Y23" s="277"/>
      <c r="Z23" s="277"/>
      <c r="AA23" s="277"/>
      <c r="AB23" s="278"/>
      <c r="AC23" s="279" t="str">
        <f>メーカー加工場!K96</f>
        <v xml:space="preserve"> -</v>
      </c>
      <c r="AD23" s="280"/>
      <c r="AE23" s="280"/>
      <c r="AF23" s="280"/>
      <c r="AG23" s="281"/>
      <c r="AJ23" t="s">
        <v>3463</v>
      </c>
    </row>
    <row r="24" spans="2:39" ht="32.25" customHeight="1" x14ac:dyDescent="0.2">
      <c r="B24" s="292" t="s">
        <v>342</v>
      </c>
      <c r="C24" s="293"/>
      <c r="D24" s="293"/>
      <c r="E24" s="293"/>
      <c r="F24" s="293"/>
      <c r="G24" s="294"/>
      <c r="H24" s="298" t="s">
        <v>370</v>
      </c>
      <c r="I24" s="299"/>
      <c r="J24" s="300"/>
      <c r="K24" s="300"/>
      <c r="L24" s="300"/>
      <c r="M24" s="300"/>
      <c r="N24" s="300"/>
      <c r="O24" s="300"/>
      <c r="P24" s="301"/>
      <c r="Q24" s="302" t="s">
        <v>343</v>
      </c>
      <c r="R24" s="302"/>
      <c r="S24" s="302"/>
      <c r="T24" s="302"/>
      <c r="U24" s="303"/>
      <c r="V24" s="305" t="s">
        <v>344</v>
      </c>
      <c r="W24" s="306"/>
      <c r="X24" s="306"/>
      <c r="Y24" s="306"/>
      <c r="Z24" s="306"/>
      <c r="AA24" s="307"/>
      <c r="AB24" s="307"/>
      <c r="AC24" s="308"/>
      <c r="AD24" s="308"/>
      <c r="AE24" s="308"/>
      <c r="AF24" s="308"/>
      <c r="AG24" s="309"/>
      <c r="AJ24" t="s">
        <v>3404</v>
      </c>
    </row>
    <row r="25" spans="2:39" ht="15.75" customHeight="1" x14ac:dyDescent="0.2">
      <c r="B25" s="295"/>
      <c r="C25" s="296"/>
      <c r="D25" s="296"/>
      <c r="E25" s="296"/>
      <c r="F25" s="296"/>
      <c r="G25" s="297"/>
      <c r="H25" s="310" t="s">
        <v>346</v>
      </c>
      <c r="I25" s="311"/>
      <c r="J25" s="311"/>
      <c r="K25" s="311"/>
      <c r="L25" s="311"/>
      <c r="M25" s="311"/>
      <c r="N25" s="311"/>
      <c r="O25" s="311"/>
      <c r="P25" s="311"/>
      <c r="Q25" s="311"/>
      <c r="R25" s="311"/>
      <c r="S25" s="311"/>
      <c r="T25" s="311"/>
      <c r="U25" s="311"/>
      <c r="V25" s="311"/>
      <c r="W25" s="311"/>
      <c r="X25" s="311"/>
      <c r="Y25" s="311"/>
      <c r="Z25" s="311"/>
      <c r="AA25" s="311"/>
      <c r="AB25" s="311"/>
      <c r="AC25" s="311"/>
      <c r="AD25" s="311"/>
      <c r="AE25" s="311"/>
      <c r="AF25" s="311"/>
      <c r="AG25" s="312"/>
      <c r="AJ25" t="s">
        <v>3415</v>
      </c>
    </row>
    <row r="26" spans="2:39" ht="32.25" customHeight="1" thickBot="1" x14ac:dyDescent="0.25">
      <c r="B26" s="313" t="s">
        <v>347</v>
      </c>
      <c r="C26" s="314"/>
      <c r="D26" s="314"/>
      <c r="E26" s="314"/>
      <c r="F26" s="314"/>
      <c r="G26" s="315"/>
      <c r="H26" s="316" t="s">
        <v>371</v>
      </c>
      <c r="I26" s="317"/>
      <c r="J26" s="317"/>
      <c r="K26" s="399"/>
      <c r="L26" s="399"/>
      <c r="M26" s="399"/>
      <c r="N26" s="399"/>
      <c r="O26" s="399"/>
      <c r="P26" s="399"/>
      <c r="Q26" s="399"/>
      <c r="R26" s="399"/>
      <c r="S26" s="399"/>
      <c r="T26" s="319" t="s">
        <v>378</v>
      </c>
      <c r="U26" s="320"/>
      <c r="V26" s="320"/>
      <c r="W26" s="321" t="str">
        <f>AA3</f>
        <v>●●</v>
      </c>
      <c r="X26" s="321"/>
      <c r="Y26" s="321"/>
      <c r="Z26" s="321"/>
      <c r="AA26" s="321"/>
      <c r="AB26" s="322" t="s">
        <v>384</v>
      </c>
      <c r="AC26" s="322"/>
      <c r="AD26" s="322"/>
      <c r="AE26" s="322"/>
      <c r="AF26" s="322"/>
      <c r="AG26" s="323"/>
      <c r="AJ26" t="s">
        <v>1158</v>
      </c>
    </row>
    <row r="27" spans="2:39" ht="6" customHeight="1" thickBot="1" x14ac:dyDescent="0.25">
      <c r="B27" s="15"/>
      <c r="C27" s="15"/>
      <c r="D27" s="15"/>
      <c r="E27" s="15"/>
      <c r="F27" s="15"/>
      <c r="G27" s="15"/>
      <c r="H27" s="15"/>
      <c r="I27" s="15"/>
      <c r="J27" s="15"/>
      <c r="K27" s="15"/>
      <c r="L27" s="15"/>
      <c r="M27" s="15"/>
      <c r="N27" s="15"/>
      <c r="O27" s="15"/>
      <c r="P27" s="15"/>
      <c r="Q27" s="15"/>
      <c r="R27" s="15"/>
      <c r="S27" s="15"/>
      <c r="T27" s="15"/>
      <c r="U27" s="15"/>
      <c r="V27" s="15"/>
      <c r="W27" s="15"/>
      <c r="X27" s="15"/>
      <c r="Y27" s="15"/>
      <c r="Z27" s="15"/>
      <c r="AA27" s="15"/>
      <c r="AB27" s="15"/>
      <c r="AC27" s="15"/>
      <c r="AD27" s="15"/>
      <c r="AE27" s="15"/>
      <c r="AF27" s="15"/>
      <c r="AG27" s="15"/>
      <c r="AJ27" t="s">
        <v>1581</v>
      </c>
    </row>
    <row r="28" spans="2:39" ht="23.25" customHeight="1" thickBot="1" x14ac:dyDescent="0.25">
      <c r="B28" s="324" t="s">
        <v>351</v>
      </c>
      <c r="C28" s="325"/>
      <c r="D28" s="325"/>
      <c r="E28" s="325"/>
      <c r="F28" s="325"/>
      <c r="G28" s="325"/>
      <c r="H28" s="325" t="s">
        <v>357</v>
      </c>
      <c r="I28" s="325"/>
      <c r="J28" s="325"/>
      <c r="K28" s="325"/>
      <c r="L28" s="325"/>
      <c r="M28" s="325"/>
      <c r="N28" s="325"/>
      <c r="O28" s="325"/>
      <c r="P28" s="325"/>
      <c r="Q28" s="325"/>
      <c r="R28" s="325"/>
      <c r="S28" s="325"/>
      <c r="T28" s="325" t="s">
        <v>356</v>
      </c>
      <c r="U28" s="325"/>
      <c r="V28" s="325"/>
      <c r="W28" s="325"/>
      <c r="X28" s="325"/>
      <c r="Y28" s="325"/>
      <c r="Z28" s="325"/>
      <c r="AA28" s="326" t="s">
        <v>355</v>
      </c>
      <c r="AB28" s="327"/>
      <c r="AC28" s="17"/>
      <c r="AD28" s="339" t="s">
        <v>1850</v>
      </c>
      <c r="AE28" s="340"/>
      <c r="AF28" s="340"/>
      <c r="AG28" s="341"/>
      <c r="AJ28" t="s">
        <v>3515</v>
      </c>
    </row>
    <row r="29" spans="2:39" ht="19.5" customHeight="1" x14ac:dyDescent="0.2">
      <c r="B29" s="328">
        <v>1</v>
      </c>
      <c r="C29" s="329"/>
      <c r="D29" s="396" t="s">
        <v>1879</v>
      </c>
      <c r="E29" s="396"/>
      <c r="F29" s="396"/>
      <c r="G29" s="396"/>
      <c r="H29" s="397" t="str">
        <f>IF(D29="","",VLOOKUP(D29,商品!$A$2:$C$1753,3,FALSE))</f>
        <v>スウェットパンツ</v>
      </c>
      <c r="I29" s="397"/>
      <c r="J29" s="397"/>
      <c r="K29" s="397"/>
      <c r="L29" s="397"/>
      <c r="M29" s="397"/>
      <c r="N29" s="397"/>
      <c r="O29" s="397"/>
      <c r="P29" s="397"/>
      <c r="Q29" s="397"/>
      <c r="R29" s="397"/>
      <c r="S29" s="397"/>
      <c r="T29" s="334" t="s">
        <v>1880</v>
      </c>
      <c r="U29" s="335"/>
      <c r="V29" s="335"/>
      <c r="W29" s="335"/>
      <c r="X29" s="336"/>
      <c r="Y29" s="331" t="s">
        <v>1881</v>
      </c>
      <c r="Z29" s="332"/>
      <c r="AA29" s="337">
        <v>6</v>
      </c>
      <c r="AB29" s="338"/>
      <c r="AC29" s="17"/>
      <c r="AD29" s="18"/>
      <c r="AE29" s="18"/>
      <c r="AF29" s="18"/>
      <c r="AG29" s="18"/>
      <c r="AK29" s="383" t="s">
        <v>1851</v>
      </c>
      <c r="AL29" s="383"/>
      <c r="AM29" s="383"/>
    </row>
    <row r="30" spans="2:39" ht="19.5" customHeight="1" x14ac:dyDescent="0.15">
      <c r="B30" s="349">
        <v>2</v>
      </c>
      <c r="C30" s="350"/>
      <c r="D30" s="390" t="s">
        <v>129</v>
      </c>
      <c r="E30" s="391"/>
      <c r="F30" s="391"/>
      <c r="G30" s="392"/>
      <c r="H30" s="393" t="str">
        <f>IF(D30="","",VLOOKUP(D30,商品!$A$2:$C$1753,3,FALSE))</f>
        <v>スウェットパンツ</v>
      </c>
      <c r="I30" s="394"/>
      <c r="J30" s="394"/>
      <c r="K30" s="394"/>
      <c r="L30" s="394"/>
      <c r="M30" s="394"/>
      <c r="N30" s="394"/>
      <c r="O30" s="394"/>
      <c r="P30" s="394"/>
      <c r="Q30" s="394"/>
      <c r="R30" s="394"/>
      <c r="S30" s="395"/>
      <c r="T30" s="342" t="s">
        <v>1880</v>
      </c>
      <c r="U30" s="343"/>
      <c r="V30" s="343"/>
      <c r="W30" s="343"/>
      <c r="X30" s="344"/>
      <c r="Y30" s="345" t="s">
        <v>1882</v>
      </c>
      <c r="Z30" s="346"/>
      <c r="AA30" s="347">
        <v>2</v>
      </c>
      <c r="AB30" s="348"/>
      <c r="AC30" s="15"/>
      <c r="AD30" s="15"/>
      <c r="AE30" s="15"/>
      <c r="AF30" s="15"/>
      <c r="AG30" s="16"/>
      <c r="AK30" s="383"/>
      <c r="AL30" s="383"/>
      <c r="AM30" s="383"/>
    </row>
    <row r="31" spans="2:39" ht="19.5" customHeight="1" x14ac:dyDescent="0.15">
      <c r="B31" s="349">
        <v>3</v>
      </c>
      <c r="C31" s="350"/>
      <c r="D31" s="390"/>
      <c r="E31" s="391"/>
      <c r="F31" s="391"/>
      <c r="G31" s="392"/>
      <c r="H31" s="393" t="str">
        <f>IF(D31="","",VLOOKUP(D31,商品!$A$2:$C$1753,3,FALSE))</f>
        <v/>
      </c>
      <c r="I31" s="394"/>
      <c r="J31" s="394"/>
      <c r="K31" s="394"/>
      <c r="L31" s="394"/>
      <c r="M31" s="394"/>
      <c r="N31" s="394"/>
      <c r="O31" s="394"/>
      <c r="P31" s="394"/>
      <c r="Q31" s="394"/>
      <c r="R31" s="394"/>
      <c r="S31" s="395"/>
      <c r="T31" s="342"/>
      <c r="U31" s="343"/>
      <c r="V31" s="343"/>
      <c r="W31" s="343"/>
      <c r="X31" s="344"/>
      <c r="Y31" s="345"/>
      <c r="Z31" s="346"/>
      <c r="AA31" s="347"/>
      <c r="AB31" s="348"/>
      <c r="AC31" s="15"/>
      <c r="AD31" s="15"/>
      <c r="AE31" s="15"/>
      <c r="AF31" s="15"/>
      <c r="AG31" s="16"/>
    </row>
    <row r="32" spans="2:39" ht="19.5" customHeight="1" x14ac:dyDescent="0.15">
      <c r="B32" s="349">
        <v>4</v>
      </c>
      <c r="C32" s="350"/>
      <c r="D32" s="390"/>
      <c r="E32" s="391"/>
      <c r="F32" s="391"/>
      <c r="G32" s="392"/>
      <c r="H32" s="393" t="str">
        <f>IF(D32="","",VLOOKUP(D32,商品!$A$2:$C$1753,3,FALSE))</f>
        <v/>
      </c>
      <c r="I32" s="394"/>
      <c r="J32" s="394"/>
      <c r="K32" s="394"/>
      <c r="L32" s="394"/>
      <c r="M32" s="394"/>
      <c r="N32" s="394"/>
      <c r="O32" s="394"/>
      <c r="P32" s="394"/>
      <c r="Q32" s="394"/>
      <c r="R32" s="394"/>
      <c r="S32" s="395"/>
      <c r="T32" s="342"/>
      <c r="U32" s="343"/>
      <c r="V32" s="343"/>
      <c r="W32" s="343"/>
      <c r="X32" s="344"/>
      <c r="Y32" s="345"/>
      <c r="Z32" s="346"/>
      <c r="AA32" s="347"/>
      <c r="AB32" s="348"/>
      <c r="AC32" s="15"/>
      <c r="AD32" s="15"/>
      <c r="AE32" s="15"/>
      <c r="AF32" s="15"/>
      <c r="AG32" s="16"/>
    </row>
    <row r="33" spans="2:33" ht="19.5" customHeight="1" x14ac:dyDescent="0.15">
      <c r="B33" s="349">
        <v>5</v>
      </c>
      <c r="C33" s="350"/>
      <c r="D33" s="390"/>
      <c r="E33" s="391"/>
      <c r="F33" s="391"/>
      <c r="G33" s="392"/>
      <c r="H33" s="393" t="str">
        <f>IF(D33="","",VLOOKUP(D33,商品!$A$2:$C$1753,3,FALSE))</f>
        <v/>
      </c>
      <c r="I33" s="394"/>
      <c r="J33" s="394"/>
      <c r="K33" s="394"/>
      <c r="L33" s="394"/>
      <c r="M33" s="394"/>
      <c r="N33" s="394"/>
      <c r="O33" s="394"/>
      <c r="P33" s="394"/>
      <c r="Q33" s="394"/>
      <c r="R33" s="394"/>
      <c r="S33" s="395"/>
      <c r="T33" s="342"/>
      <c r="U33" s="343"/>
      <c r="V33" s="343"/>
      <c r="W33" s="343"/>
      <c r="X33" s="344"/>
      <c r="Y33" s="345"/>
      <c r="Z33" s="346"/>
      <c r="AA33" s="347"/>
      <c r="AB33" s="348"/>
      <c r="AC33" s="15"/>
      <c r="AD33" s="15"/>
      <c r="AE33" s="15"/>
      <c r="AF33" s="15"/>
      <c r="AG33" s="16"/>
    </row>
    <row r="34" spans="2:33" ht="19.5" customHeight="1" x14ac:dyDescent="0.15">
      <c r="B34" s="349">
        <v>6</v>
      </c>
      <c r="C34" s="350"/>
      <c r="D34" s="390"/>
      <c r="E34" s="391"/>
      <c r="F34" s="391"/>
      <c r="G34" s="392"/>
      <c r="H34" s="393" t="str">
        <f>IF(D34="","",VLOOKUP(D34,商品!$A$2:$C$1753,3,FALSE))</f>
        <v/>
      </c>
      <c r="I34" s="394"/>
      <c r="J34" s="394"/>
      <c r="K34" s="394"/>
      <c r="L34" s="394"/>
      <c r="M34" s="394"/>
      <c r="N34" s="394"/>
      <c r="O34" s="394"/>
      <c r="P34" s="394"/>
      <c r="Q34" s="394"/>
      <c r="R34" s="394"/>
      <c r="S34" s="395"/>
      <c r="T34" s="342"/>
      <c r="U34" s="343"/>
      <c r="V34" s="343"/>
      <c r="W34" s="343"/>
      <c r="X34" s="344"/>
      <c r="Y34" s="345"/>
      <c r="Z34" s="346"/>
      <c r="AA34" s="347"/>
      <c r="AB34" s="348"/>
      <c r="AC34" s="15"/>
      <c r="AD34" s="15"/>
      <c r="AE34" s="15"/>
      <c r="AF34" s="15"/>
      <c r="AG34" s="16"/>
    </row>
    <row r="35" spans="2:33" ht="19.5" customHeight="1" x14ac:dyDescent="0.15">
      <c r="B35" s="349">
        <v>7</v>
      </c>
      <c r="C35" s="350"/>
      <c r="D35" s="390"/>
      <c r="E35" s="391"/>
      <c r="F35" s="391"/>
      <c r="G35" s="392"/>
      <c r="H35" s="393" t="str">
        <f>IF(D35="","",VLOOKUP(D35,商品!$A$2:$C$1753,3,FALSE))</f>
        <v/>
      </c>
      <c r="I35" s="394"/>
      <c r="J35" s="394"/>
      <c r="K35" s="394"/>
      <c r="L35" s="394"/>
      <c r="M35" s="394"/>
      <c r="N35" s="394"/>
      <c r="O35" s="394"/>
      <c r="P35" s="394"/>
      <c r="Q35" s="394"/>
      <c r="R35" s="394"/>
      <c r="S35" s="395"/>
      <c r="T35" s="342"/>
      <c r="U35" s="343"/>
      <c r="V35" s="343"/>
      <c r="W35" s="343"/>
      <c r="X35" s="344"/>
      <c r="Y35" s="345"/>
      <c r="Z35" s="346"/>
      <c r="AA35" s="347"/>
      <c r="AB35" s="348"/>
      <c r="AC35" s="15"/>
      <c r="AD35" s="15"/>
      <c r="AE35" s="15"/>
      <c r="AF35" s="15"/>
      <c r="AG35" s="16"/>
    </row>
    <row r="36" spans="2:33" ht="19.5" customHeight="1" x14ac:dyDescent="0.15">
      <c r="B36" s="349">
        <v>8</v>
      </c>
      <c r="C36" s="350"/>
      <c r="D36" s="390"/>
      <c r="E36" s="391"/>
      <c r="F36" s="391"/>
      <c r="G36" s="392"/>
      <c r="H36" s="393" t="str">
        <f>IF(D36="","",VLOOKUP(D36,商品!$A$2:$C$1753,3,FALSE))</f>
        <v/>
      </c>
      <c r="I36" s="394"/>
      <c r="J36" s="394"/>
      <c r="K36" s="394"/>
      <c r="L36" s="394"/>
      <c r="M36" s="394"/>
      <c r="N36" s="394"/>
      <c r="O36" s="394"/>
      <c r="P36" s="394"/>
      <c r="Q36" s="394"/>
      <c r="R36" s="394"/>
      <c r="S36" s="395"/>
      <c r="T36" s="342"/>
      <c r="U36" s="343"/>
      <c r="V36" s="343"/>
      <c r="W36" s="343"/>
      <c r="X36" s="344"/>
      <c r="Y36" s="345"/>
      <c r="Z36" s="346"/>
      <c r="AA36" s="347"/>
      <c r="AB36" s="348"/>
      <c r="AC36" s="15"/>
      <c r="AD36" s="15"/>
      <c r="AE36" s="15"/>
      <c r="AF36" s="15"/>
      <c r="AG36" s="16"/>
    </row>
    <row r="37" spans="2:33" ht="19.5" customHeight="1" x14ac:dyDescent="0.15">
      <c r="B37" s="349">
        <v>9</v>
      </c>
      <c r="C37" s="350"/>
      <c r="D37" s="390"/>
      <c r="E37" s="391"/>
      <c r="F37" s="391"/>
      <c r="G37" s="392"/>
      <c r="H37" s="393" t="str">
        <f>IF(D37="","",VLOOKUP(D37,商品!$A$2:$C$1753,3,FALSE))</f>
        <v/>
      </c>
      <c r="I37" s="394"/>
      <c r="J37" s="394"/>
      <c r="K37" s="394"/>
      <c r="L37" s="394"/>
      <c r="M37" s="394"/>
      <c r="N37" s="394"/>
      <c r="O37" s="394"/>
      <c r="P37" s="394"/>
      <c r="Q37" s="394"/>
      <c r="R37" s="394"/>
      <c r="S37" s="395"/>
      <c r="T37" s="342"/>
      <c r="U37" s="343"/>
      <c r="V37" s="343"/>
      <c r="W37" s="343"/>
      <c r="X37" s="344"/>
      <c r="Y37" s="345"/>
      <c r="Z37" s="346"/>
      <c r="AA37" s="347"/>
      <c r="AB37" s="348"/>
      <c r="AC37" s="15"/>
      <c r="AD37" s="15"/>
      <c r="AE37" s="15"/>
      <c r="AF37" s="15"/>
      <c r="AG37" s="16"/>
    </row>
    <row r="38" spans="2:33" ht="19.5" customHeight="1" x14ac:dyDescent="0.15">
      <c r="B38" s="349">
        <v>10</v>
      </c>
      <c r="C38" s="350"/>
      <c r="D38" s="390"/>
      <c r="E38" s="391"/>
      <c r="F38" s="391"/>
      <c r="G38" s="392"/>
      <c r="H38" s="393" t="str">
        <f>IF(D38="","",VLOOKUP(D38,商品!$A$2:$C$1753,3,FALSE))</f>
        <v/>
      </c>
      <c r="I38" s="394"/>
      <c r="J38" s="394"/>
      <c r="K38" s="394"/>
      <c r="L38" s="394"/>
      <c r="M38" s="394"/>
      <c r="N38" s="394"/>
      <c r="O38" s="394"/>
      <c r="P38" s="394"/>
      <c r="Q38" s="394"/>
      <c r="R38" s="394"/>
      <c r="S38" s="395"/>
      <c r="T38" s="342"/>
      <c r="U38" s="343"/>
      <c r="V38" s="343"/>
      <c r="W38" s="343"/>
      <c r="X38" s="344"/>
      <c r="Y38" s="345"/>
      <c r="Z38" s="346"/>
      <c r="AA38" s="347"/>
      <c r="AB38" s="348"/>
      <c r="AC38" s="15"/>
      <c r="AD38" s="15"/>
      <c r="AE38" s="15"/>
      <c r="AF38" s="15"/>
      <c r="AG38" s="16"/>
    </row>
    <row r="39" spans="2:33" ht="19.5" customHeight="1" x14ac:dyDescent="0.15">
      <c r="B39" s="349">
        <v>11</v>
      </c>
      <c r="C39" s="350"/>
      <c r="D39" s="390"/>
      <c r="E39" s="391"/>
      <c r="F39" s="391"/>
      <c r="G39" s="392"/>
      <c r="H39" s="393" t="str">
        <f>IF(D39="","",VLOOKUP(D39,商品!$A$2:$C$1753,3,FALSE))</f>
        <v/>
      </c>
      <c r="I39" s="394"/>
      <c r="J39" s="394"/>
      <c r="K39" s="394"/>
      <c r="L39" s="394"/>
      <c r="M39" s="394"/>
      <c r="N39" s="394"/>
      <c r="O39" s="394"/>
      <c r="P39" s="394"/>
      <c r="Q39" s="394"/>
      <c r="R39" s="394"/>
      <c r="S39" s="395"/>
      <c r="T39" s="342"/>
      <c r="U39" s="343"/>
      <c r="V39" s="343"/>
      <c r="W39" s="343"/>
      <c r="X39" s="344"/>
      <c r="Y39" s="345"/>
      <c r="Z39" s="346"/>
      <c r="AA39" s="347"/>
      <c r="AB39" s="348"/>
      <c r="AC39" s="15"/>
      <c r="AD39" s="15"/>
      <c r="AE39" s="15"/>
      <c r="AF39" s="15"/>
      <c r="AG39" s="16"/>
    </row>
    <row r="40" spans="2:33" ht="19.5" customHeight="1" x14ac:dyDescent="0.15">
      <c r="B40" s="349">
        <v>12</v>
      </c>
      <c r="C40" s="350"/>
      <c r="D40" s="390"/>
      <c r="E40" s="391"/>
      <c r="F40" s="391"/>
      <c r="G40" s="392"/>
      <c r="H40" s="393" t="str">
        <f>IF(D40="","",VLOOKUP(D40,商品!$A$2:$C$1753,3,FALSE))</f>
        <v/>
      </c>
      <c r="I40" s="394"/>
      <c r="J40" s="394"/>
      <c r="K40" s="394"/>
      <c r="L40" s="394"/>
      <c r="M40" s="394"/>
      <c r="N40" s="394"/>
      <c r="O40" s="394"/>
      <c r="P40" s="394"/>
      <c r="Q40" s="394"/>
      <c r="R40" s="394"/>
      <c r="S40" s="395"/>
      <c r="T40" s="342"/>
      <c r="U40" s="343"/>
      <c r="V40" s="343"/>
      <c r="W40" s="343"/>
      <c r="X40" s="344"/>
      <c r="Y40" s="345"/>
      <c r="Z40" s="346"/>
      <c r="AA40" s="347"/>
      <c r="AB40" s="348"/>
      <c r="AC40" s="15"/>
      <c r="AD40" s="15"/>
      <c r="AE40" s="15"/>
      <c r="AF40" s="15"/>
      <c r="AG40" s="16"/>
    </row>
    <row r="41" spans="2:33" ht="19.5" customHeight="1" x14ac:dyDescent="0.15">
      <c r="B41" s="349">
        <v>13</v>
      </c>
      <c r="C41" s="350"/>
      <c r="D41" s="390"/>
      <c r="E41" s="391"/>
      <c r="F41" s="391"/>
      <c r="G41" s="392"/>
      <c r="H41" s="393" t="str">
        <f>IF(D41="","",VLOOKUP(D41,商品!$A$2:$C$1753,3,FALSE))</f>
        <v/>
      </c>
      <c r="I41" s="394"/>
      <c r="J41" s="394"/>
      <c r="K41" s="394"/>
      <c r="L41" s="394"/>
      <c r="M41" s="394"/>
      <c r="N41" s="394"/>
      <c r="O41" s="394"/>
      <c r="P41" s="394"/>
      <c r="Q41" s="394"/>
      <c r="R41" s="394"/>
      <c r="S41" s="395"/>
      <c r="T41" s="342"/>
      <c r="U41" s="343"/>
      <c r="V41" s="343"/>
      <c r="W41" s="343"/>
      <c r="X41" s="344"/>
      <c r="Y41" s="345"/>
      <c r="Z41" s="346"/>
      <c r="AA41" s="347"/>
      <c r="AB41" s="348"/>
      <c r="AC41" s="15"/>
      <c r="AD41" s="15"/>
      <c r="AE41" s="15"/>
      <c r="AF41" s="15"/>
      <c r="AG41" s="16"/>
    </row>
    <row r="42" spans="2:33" ht="19.5" customHeight="1" x14ac:dyDescent="0.15">
      <c r="B42" s="349">
        <v>14</v>
      </c>
      <c r="C42" s="350"/>
      <c r="D42" s="390"/>
      <c r="E42" s="391"/>
      <c r="F42" s="391"/>
      <c r="G42" s="392"/>
      <c r="H42" s="393" t="str">
        <f>IF(D42="","",VLOOKUP(D42,商品!$A$2:$C$1753,3,FALSE))</f>
        <v/>
      </c>
      <c r="I42" s="394"/>
      <c r="J42" s="394"/>
      <c r="K42" s="394"/>
      <c r="L42" s="394"/>
      <c r="M42" s="394"/>
      <c r="N42" s="394"/>
      <c r="O42" s="394"/>
      <c r="P42" s="394"/>
      <c r="Q42" s="394"/>
      <c r="R42" s="394"/>
      <c r="S42" s="395"/>
      <c r="T42" s="342"/>
      <c r="U42" s="343"/>
      <c r="V42" s="343"/>
      <c r="W42" s="343"/>
      <c r="X42" s="344"/>
      <c r="Y42" s="345"/>
      <c r="Z42" s="346"/>
      <c r="AA42" s="347"/>
      <c r="AB42" s="348"/>
      <c r="AC42" s="15"/>
      <c r="AD42" s="15"/>
      <c r="AE42" s="15"/>
      <c r="AF42" s="15"/>
      <c r="AG42" s="16"/>
    </row>
    <row r="43" spans="2:33" ht="19.5" customHeight="1" thickBot="1" x14ac:dyDescent="0.2">
      <c r="B43" s="370">
        <v>15</v>
      </c>
      <c r="C43" s="371"/>
      <c r="D43" s="384"/>
      <c r="E43" s="385"/>
      <c r="F43" s="385"/>
      <c r="G43" s="386"/>
      <c r="H43" s="387" t="str">
        <f>IF(D43="","",VLOOKUP(D43,商品!$A$2:$C$1753,3,FALSE))</f>
        <v/>
      </c>
      <c r="I43" s="388"/>
      <c r="J43" s="388"/>
      <c r="K43" s="388"/>
      <c r="L43" s="388"/>
      <c r="M43" s="388"/>
      <c r="N43" s="388"/>
      <c r="O43" s="388"/>
      <c r="P43" s="388"/>
      <c r="Q43" s="388"/>
      <c r="R43" s="388"/>
      <c r="S43" s="389"/>
      <c r="T43" s="375"/>
      <c r="U43" s="376"/>
      <c r="V43" s="376"/>
      <c r="W43" s="376"/>
      <c r="X43" s="380"/>
      <c r="Y43" s="381"/>
      <c r="Z43" s="382"/>
      <c r="AA43" s="378"/>
      <c r="AB43" s="379"/>
      <c r="AC43" s="15"/>
      <c r="AD43" s="15"/>
      <c r="AE43" s="15"/>
      <c r="AF43" s="15"/>
      <c r="AG43" s="16"/>
    </row>
    <row r="44" spans="2:33" ht="4.5" customHeight="1" thickBot="1" x14ac:dyDescent="0.25">
      <c r="B44" s="15"/>
      <c r="C44" s="15"/>
      <c r="D44" s="15"/>
      <c r="E44" s="15"/>
      <c r="F44" s="15"/>
      <c r="G44" s="15"/>
      <c r="H44" s="15"/>
      <c r="I44" s="15"/>
      <c r="J44" s="15"/>
      <c r="K44" s="15"/>
      <c r="L44" s="15"/>
      <c r="M44" s="15"/>
      <c r="N44" s="15"/>
      <c r="O44" s="15"/>
      <c r="P44" s="15"/>
      <c r="Q44" s="15"/>
      <c r="R44" s="15"/>
      <c r="S44" s="15"/>
      <c r="T44" s="15"/>
      <c r="U44" s="15"/>
      <c r="V44" s="15"/>
      <c r="W44" s="15"/>
      <c r="X44" s="15"/>
      <c r="Y44" s="15"/>
      <c r="Z44" s="15"/>
      <c r="AA44" s="15"/>
      <c r="AB44" s="15"/>
      <c r="AC44" s="15"/>
      <c r="AD44" s="15"/>
      <c r="AE44" s="15"/>
      <c r="AF44" s="15"/>
      <c r="AG44" s="15"/>
    </row>
    <row r="45" spans="2:33" ht="21" customHeight="1" thickTop="1" x14ac:dyDescent="0.2">
      <c r="B45" s="355" t="s">
        <v>352</v>
      </c>
      <c r="C45" s="356"/>
      <c r="D45" s="356"/>
      <c r="E45" s="356"/>
      <c r="F45" s="356"/>
      <c r="G45" s="356"/>
      <c r="H45" s="359" t="s">
        <v>381</v>
      </c>
      <c r="I45" s="360"/>
      <c r="J45" s="360"/>
      <c r="K45" s="360"/>
      <c r="L45" s="360"/>
      <c r="M45" s="360"/>
      <c r="N45" s="360"/>
      <c r="O45" s="360"/>
      <c r="P45" s="360"/>
      <c r="Q45" s="360"/>
      <c r="R45" s="360"/>
      <c r="S45" s="360"/>
      <c r="T45" s="361"/>
      <c r="U45" s="361"/>
      <c r="V45" s="361"/>
      <c r="W45" s="361"/>
      <c r="X45" s="361"/>
      <c r="Y45" s="361"/>
      <c r="Z45" s="361"/>
      <c r="AA45" s="361"/>
      <c r="AB45" s="361"/>
      <c r="AC45" s="361"/>
      <c r="AD45" s="361"/>
      <c r="AE45" s="361"/>
      <c r="AF45" s="361"/>
      <c r="AG45" s="49"/>
    </row>
    <row r="46" spans="2:33" ht="21" customHeight="1" thickBot="1" x14ac:dyDescent="0.25">
      <c r="B46" s="357"/>
      <c r="C46" s="358"/>
      <c r="D46" s="358"/>
      <c r="E46" s="358"/>
      <c r="F46" s="358"/>
      <c r="G46" s="358"/>
      <c r="H46" s="362" t="s">
        <v>380</v>
      </c>
      <c r="I46" s="363"/>
      <c r="J46" s="363"/>
      <c r="K46" s="363"/>
      <c r="L46" s="363"/>
      <c r="M46" s="363"/>
      <c r="N46" s="363"/>
      <c r="O46" s="363"/>
      <c r="P46" s="364"/>
      <c r="Q46" s="364"/>
      <c r="R46" s="364"/>
      <c r="S46" s="364"/>
      <c r="T46" s="364"/>
      <c r="U46" s="364"/>
      <c r="V46" s="364"/>
      <c r="W46" s="364"/>
      <c r="X46" s="365" t="s">
        <v>1876</v>
      </c>
      <c r="Y46" s="366"/>
      <c r="Z46" s="366"/>
      <c r="AA46" s="366"/>
      <c r="AB46" s="367"/>
      <c r="AC46" s="367"/>
      <c r="AD46" s="367"/>
      <c r="AE46" s="367"/>
      <c r="AF46" s="368" t="s">
        <v>1884</v>
      </c>
      <c r="AG46" s="369"/>
    </row>
    <row r="47" spans="2:33" ht="4.5" customHeight="1" thickTop="1" x14ac:dyDescent="0.2"/>
  </sheetData>
  <mergeCells count="178">
    <mergeCell ref="X46:AA46"/>
    <mergeCell ref="P46:W46"/>
    <mergeCell ref="AF46:AG46"/>
    <mergeCell ref="AB46:AE46"/>
    <mergeCell ref="B7:F7"/>
    <mergeCell ref="B11:AG11"/>
    <mergeCell ref="B13:G23"/>
    <mergeCell ref="H13:AB13"/>
    <mergeCell ref="AC13:AG13"/>
    <mergeCell ref="H14:O14"/>
    <mergeCell ref="P19:AB19"/>
    <mergeCell ref="AC14:AG14"/>
    <mergeCell ref="H15:O15"/>
    <mergeCell ref="P14:AB14"/>
    <mergeCell ref="H22:O22"/>
    <mergeCell ref="P15:AB15"/>
    <mergeCell ref="AC15:AG15"/>
    <mergeCell ref="H16:O16"/>
    <mergeCell ref="P16:AB16"/>
    <mergeCell ref="AC17:AG17"/>
    <mergeCell ref="AC16:AG16"/>
    <mergeCell ref="H17:O17"/>
    <mergeCell ref="G7:K7"/>
    <mergeCell ref="M7:AG9"/>
    <mergeCell ref="C1:R1"/>
    <mergeCell ref="S1:AG1"/>
    <mergeCell ref="B3:F3"/>
    <mergeCell ref="G3:K3"/>
    <mergeCell ref="M3:O3"/>
    <mergeCell ref="P3:V3"/>
    <mergeCell ref="W3:Z3"/>
    <mergeCell ref="AA3:AD3"/>
    <mergeCell ref="AE3:AG3"/>
    <mergeCell ref="W4:Z4"/>
    <mergeCell ref="AA4:AG4"/>
    <mergeCell ref="B5:F6"/>
    <mergeCell ref="G5:K6"/>
    <mergeCell ref="M6:AG6"/>
    <mergeCell ref="B4:F4"/>
    <mergeCell ref="G4:K4"/>
    <mergeCell ref="M4:O4"/>
    <mergeCell ref="P4:V4"/>
    <mergeCell ref="B8:F8"/>
    <mergeCell ref="G8:K8"/>
    <mergeCell ref="B9:F10"/>
    <mergeCell ref="G9:K10"/>
    <mergeCell ref="M10:AG10"/>
    <mergeCell ref="B24:G25"/>
    <mergeCell ref="H24:I24"/>
    <mergeCell ref="J24:P24"/>
    <mergeCell ref="Q24:U24"/>
    <mergeCell ref="H25:AG25"/>
    <mergeCell ref="P22:AB22"/>
    <mergeCell ref="AC22:AG22"/>
    <mergeCell ref="H23:O23"/>
    <mergeCell ref="P23:AB23"/>
    <mergeCell ref="V24:Z24"/>
    <mergeCell ref="AA24:AG24"/>
    <mergeCell ref="AC23:AG23"/>
    <mergeCell ref="P17:AB17"/>
    <mergeCell ref="P18:AB18"/>
    <mergeCell ref="AC18:AG18"/>
    <mergeCell ref="H21:O21"/>
    <mergeCell ref="B28:G28"/>
    <mergeCell ref="T28:Z28"/>
    <mergeCell ref="W26:AA26"/>
    <mergeCell ref="Y29:Z29"/>
    <mergeCell ref="H28:S28"/>
    <mergeCell ref="P21:AB21"/>
    <mergeCell ref="AC21:AG21"/>
    <mergeCell ref="H18:O18"/>
    <mergeCell ref="AC19:AG19"/>
    <mergeCell ref="H20:O20"/>
    <mergeCell ref="P20:AB20"/>
    <mergeCell ref="AC20:AG20"/>
    <mergeCell ref="H19:O19"/>
    <mergeCell ref="B26:G26"/>
    <mergeCell ref="H26:J26"/>
    <mergeCell ref="K26:S26"/>
    <mergeCell ref="T26:V26"/>
    <mergeCell ref="AB26:AG26"/>
    <mergeCell ref="AA28:AB28"/>
    <mergeCell ref="AD28:AG28"/>
    <mergeCell ref="Y33:Z33"/>
    <mergeCell ref="AA33:AB33"/>
    <mergeCell ref="Y32:Z32"/>
    <mergeCell ref="AA32:AB32"/>
    <mergeCell ref="Y30:Z30"/>
    <mergeCell ref="AA30:AB30"/>
    <mergeCell ref="Y31:Z31"/>
    <mergeCell ref="AA31:AB31"/>
    <mergeCell ref="H33:S33"/>
    <mergeCell ref="T33:X33"/>
    <mergeCell ref="B32:C32"/>
    <mergeCell ref="D32:G32"/>
    <mergeCell ref="H32:S32"/>
    <mergeCell ref="T32:X32"/>
    <mergeCell ref="B31:C31"/>
    <mergeCell ref="D31:G31"/>
    <mergeCell ref="AA29:AB29"/>
    <mergeCell ref="B30:C30"/>
    <mergeCell ref="D30:G30"/>
    <mergeCell ref="H30:S30"/>
    <mergeCell ref="T30:X30"/>
    <mergeCell ref="H31:S31"/>
    <mergeCell ref="T31:X31"/>
    <mergeCell ref="B29:C29"/>
    <mergeCell ref="D29:G29"/>
    <mergeCell ref="H29:S29"/>
    <mergeCell ref="T29:X29"/>
    <mergeCell ref="Y37:Z37"/>
    <mergeCell ref="AA37:AB37"/>
    <mergeCell ref="Y36:Z36"/>
    <mergeCell ref="AA36:AB36"/>
    <mergeCell ref="Y35:Z35"/>
    <mergeCell ref="AA35:AB35"/>
    <mergeCell ref="Y34:Z34"/>
    <mergeCell ref="AA34:AB34"/>
    <mergeCell ref="B35:C35"/>
    <mergeCell ref="D35:G35"/>
    <mergeCell ref="B34:C34"/>
    <mergeCell ref="D34:G34"/>
    <mergeCell ref="H34:S34"/>
    <mergeCell ref="T34:X34"/>
    <mergeCell ref="H35:S35"/>
    <mergeCell ref="T35:X35"/>
    <mergeCell ref="B33:C33"/>
    <mergeCell ref="D33:G33"/>
    <mergeCell ref="B39:C39"/>
    <mergeCell ref="D39:G39"/>
    <mergeCell ref="B38:C38"/>
    <mergeCell ref="D38:G38"/>
    <mergeCell ref="H38:S38"/>
    <mergeCell ref="T38:X38"/>
    <mergeCell ref="H39:S39"/>
    <mergeCell ref="T39:X39"/>
    <mergeCell ref="B36:C36"/>
    <mergeCell ref="D36:G36"/>
    <mergeCell ref="H36:S36"/>
    <mergeCell ref="T36:X36"/>
    <mergeCell ref="B37:C37"/>
    <mergeCell ref="D37:G37"/>
    <mergeCell ref="H37:S37"/>
    <mergeCell ref="T37:X37"/>
    <mergeCell ref="H41:S41"/>
    <mergeCell ref="T41:X41"/>
    <mergeCell ref="Y41:Z41"/>
    <mergeCell ref="AA41:AB41"/>
    <mergeCell ref="Y40:Z40"/>
    <mergeCell ref="AA40:AB40"/>
    <mergeCell ref="Y39:Z39"/>
    <mergeCell ref="AA39:AB39"/>
    <mergeCell ref="Y38:Z38"/>
    <mergeCell ref="AA38:AB38"/>
    <mergeCell ref="AK13:AM14"/>
    <mergeCell ref="B45:G46"/>
    <mergeCell ref="H45:S45"/>
    <mergeCell ref="T45:AF45"/>
    <mergeCell ref="H46:O46"/>
    <mergeCell ref="AK29:AM30"/>
    <mergeCell ref="B43:C43"/>
    <mergeCell ref="D43:G43"/>
    <mergeCell ref="H43:S43"/>
    <mergeCell ref="T43:X43"/>
    <mergeCell ref="Y43:Z43"/>
    <mergeCell ref="AA43:AB43"/>
    <mergeCell ref="B42:C42"/>
    <mergeCell ref="D42:G42"/>
    <mergeCell ref="H42:S42"/>
    <mergeCell ref="T42:X42"/>
    <mergeCell ref="Y42:Z42"/>
    <mergeCell ref="AA42:AB42"/>
    <mergeCell ref="B40:C40"/>
    <mergeCell ref="D40:G40"/>
    <mergeCell ref="H40:S40"/>
    <mergeCell ref="T40:X40"/>
    <mergeCell ref="B41:C41"/>
    <mergeCell ref="D41:G41"/>
  </mergeCells>
  <phoneticPr fontId="6"/>
  <dataValidations count="2">
    <dataValidation type="list" allowBlank="1" showInputMessage="1" showErrorMessage="1" sqref="AC13:AG13" xr:uid="{00000000-0002-0000-0100-000000000000}">
      <formula1>"シルク,その他加工"</formula1>
    </dataValidation>
    <dataValidation type="list" allowBlank="1" showInputMessage="1" showErrorMessage="1" sqref="C1:R1" xr:uid="{00000000-0002-0000-0100-000001000000}">
      <formula1>$AJ$2:$AJ$28</formula1>
    </dataValidation>
  </dataValidations>
  <pageMargins left="0.43307086614173229" right="0.43307086614173229" top="0.47244094488188981" bottom="0.47244094488188981" header="0.31496062992125984" footer="0.31496062992125984"/>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tabColor rgb="FF00FF00"/>
  </sheetPr>
  <dimension ref="B1:AJ43"/>
  <sheetViews>
    <sheetView view="pageBreakPreview" zoomScaleNormal="100" zoomScaleSheetLayoutView="100" workbookViewId="0">
      <selection activeCell="H25" sqref="H25:S25"/>
    </sheetView>
  </sheetViews>
  <sheetFormatPr defaultRowHeight="13.2" x14ac:dyDescent="0.2"/>
  <cols>
    <col min="1" max="1" width="0.44140625" customWidth="1"/>
    <col min="2" max="2" width="1.88671875" customWidth="1"/>
    <col min="3" max="3" width="1.21875" customWidth="1"/>
    <col min="4" max="4" width="3.33203125" customWidth="1"/>
    <col min="5" max="5" width="5" customWidth="1"/>
    <col min="6" max="6" width="2.109375" customWidth="1"/>
    <col min="7" max="7" width="3" customWidth="1"/>
    <col min="8" max="8" width="1" customWidth="1"/>
    <col min="9" max="9" width="4.44140625" customWidth="1"/>
    <col min="10" max="11" width="2.109375" customWidth="1"/>
    <col min="12" max="12" width="1.21875" customWidth="1"/>
    <col min="13" max="13" width="4.6640625" customWidth="1"/>
    <col min="14" max="14" width="2.6640625" customWidth="1"/>
    <col min="15" max="15" width="3.21875" customWidth="1"/>
    <col min="16" max="16" width="2.44140625" customWidth="1"/>
    <col min="17" max="17" width="2.6640625" customWidth="1"/>
    <col min="18" max="18" width="6" customWidth="1"/>
    <col min="19" max="19" width="4.109375" customWidth="1"/>
    <col min="20" max="20" width="4.33203125" customWidth="1"/>
    <col min="21" max="21" width="4.21875" customWidth="1"/>
    <col min="22" max="22" width="4.6640625" customWidth="1"/>
    <col min="23" max="25" width="2.44140625" customWidth="1"/>
    <col min="26" max="26" width="3.33203125" customWidth="1"/>
    <col min="27" max="27" width="3.6640625" customWidth="1"/>
    <col min="28" max="28" width="3" customWidth="1"/>
    <col min="29" max="29" width="1.109375" customWidth="1"/>
    <col min="30" max="30" width="2.21875" customWidth="1"/>
    <col min="31" max="31" width="4.33203125" customWidth="1"/>
    <col min="32" max="32" width="1.77734375" customWidth="1"/>
    <col min="33" max="33" width="1.44140625" customWidth="1"/>
    <col min="34" max="34" width="0.44140625" customWidth="1"/>
    <col min="35" max="35" width="1.77734375" customWidth="1"/>
    <col min="36" max="36" width="7.88671875" customWidth="1"/>
    <col min="37" max="37" width="14" customWidth="1"/>
    <col min="38" max="38" width="7.44140625" customWidth="1"/>
    <col min="42" max="42" width="9.77734375" customWidth="1"/>
    <col min="43" max="43" width="77.109375" customWidth="1"/>
    <col min="44" max="44" width="15" customWidth="1"/>
  </cols>
  <sheetData>
    <row r="1" spans="2:36" ht="33.75" customHeight="1" x14ac:dyDescent="0.2">
      <c r="B1" s="48" t="s">
        <v>3569</v>
      </c>
      <c r="C1" s="187" t="e">
        <f>メーカー加工場!B69</f>
        <v>#REF!</v>
      </c>
      <c r="D1" s="187"/>
      <c r="E1" s="187"/>
      <c r="F1" s="187"/>
      <c r="G1" s="187"/>
      <c r="H1" s="187"/>
      <c r="I1" s="187"/>
      <c r="J1" s="187"/>
      <c r="K1" s="187"/>
      <c r="L1" s="187"/>
      <c r="M1" s="187"/>
      <c r="N1" s="187"/>
      <c r="O1" s="187"/>
      <c r="P1" s="187"/>
      <c r="Q1" s="187"/>
      <c r="R1" s="187"/>
      <c r="S1" s="403" t="s">
        <v>369</v>
      </c>
      <c r="T1" s="403"/>
      <c r="U1" s="403"/>
      <c r="V1" s="403"/>
      <c r="W1" s="403"/>
      <c r="X1" s="403"/>
      <c r="Y1" s="403"/>
      <c r="Z1" s="403"/>
      <c r="AA1" s="403"/>
      <c r="AB1" s="403"/>
      <c r="AC1" s="403"/>
      <c r="AD1" s="403"/>
      <c r="AE1" s="403"/>
      <c r="AF1" s="403"/>
      <c r="AG1" s="403"/>
    </row>
    <row r="2" spans="2:36" ht="3.75" customHeight="1" thickBot="1" x14ac:dyDescent="0.25">
      <c r="B2" s="3"/>
      <c r="C2" s="4"/>
      <c r="D2" s="4"/>
      <c r="E2" s="4"/>
      <c r="F2" s="4"/>
      <c r="G2" s="4"/>
      <c r="H2" s="4"/>
      <c r="I2" s="4"/>
      <c r="J2" s="4"/>
      <c r="K2" s="4"/>
      <c r="L2" s="4"/>
      <c r="M2" s="4"/>
      <c r="N2" s="4"/>
      <c r="O2" s="4"/>
      <c r="P2" s="4"/>
      <c r="Q2" s="4"/>
      <c r="R2" s="4"/>
      <c r="S2" s="5"/>
      <c r="T2" s="5"/>
      <c r="U2" s="5"/>
      <c r="V2" s="5"/>
      <c r="W2" s="5"/>
      <c r="X2" s="5"/>
      <c r="Y2" s="5"/>
      <c r="Z2" s="5"/>
      <c r="AA2" s="5"/>
      <c r="AB2" s="5"/>
      <c r="AC2" s="5"/>
      <c r="AD2" s="5"/>
      <c r="AE2" s="5"/>
      <c r="AF2" s="5"/>
      <c r="AG2" s="5"/>
    </row>
    <row r="3" spans="2:36" ht="31.5" customHeight="1" x14ac:dyDescent="0.2">
      <c r="B3" s="189" t="s">
        <v>325</v>
      </c>
      <c r="C3" s="190"/>
      <c r="D3" s="190"/>
      <c r="E3" s="190"/>
      <c r="F3" s="191"/>
      <c r="G3" s="192" t="s">
        <v>326</v>
      </c>
      <c r="H3" s="190"/>
      <c r="I3" s="190"/>
      <c r="J3" s="190"/>
      <c r="K3" s="193"/>
      <c r="L3" s="6"/>
      <c r="M3" s="194" t="s">
        <v>327</v>
      </c>
      <c r="N3" s="195"/>
      <c r="O3" s="196"/>
      <c r="P3" s="197" t="s">
        <v>354</v>
      </c>
      <c r="Q3" s="198"/>
      <c r="R3" s="198"/>
      <c r="S3" s="198"/>
      <c r="T3" s="198"/>
      <c r="U3" s="198"/>
      <c r="V3" s="199"/>
      <c r="W3" s="200" t="s">
        <v>328</v>
      </c>
      <c r="X3" s="201"/>
      <c r="Y3" s="201"/>
      <c r="Z3" s="202"/>
      <c r="AA3" s="203" t="str">
        <f>メーカー加工場!B71</f>
        <v>●●</v>
      </c>
      <c r="AB3" s="204"/>
      <c r="AC3" s="204"/>
      <c r="AD3" s="204"/>
      <c r="AE3" s="404" t="e">
        <f>#REF!</f>
        <v>#REF!</v>
      </c>
      <c r="AF3" s="404"/>
      <c r="AG3" s="405"/>
    </row>
    <row r="4" spans="2:36" ht="27" customHeight="1" thickBot="1" x14ac:dyDescent="0.25">
      <c r="B4" s="213" t="s">
        <v>329</v>
      </c>
      <c r="C4" s="214"/>
      <c r="D4" s="214"/>
      <c r="E4" s="214"/>
      <c r="F4" s="215"/>
      <c r="G4" s="237">
        <f ca="1">TODAY()</f>
        <v>45831</v>
      </c>
      <c r="H4" s="238"/>
      <c r="I4" s="238"/>
      <c r="J4" s="238"/>
      <c r="K4" s="239"/>
      <c r="L4" s="7"/>
      <c r="M4" s="219" t="s">
        <v>330</v>
      </c>
      <c r="N4" s="220"/>
      <c r="O4" s="221"/>
      <c r="P4" s="222"/>
      <c r="Q4" s="223"/>
      <c r="R4" s="223"/>
      <c r="S4" s="223"/>
      <c r="T4" s="223"/>
      <c r="U4" s="223"/>
      <c r="V4" s="224"/>
      <c r="W4" s="207" t="s">
        <v>331</v>
      </c>
      <c r="X4" s="208"/>
      <c r="Y4" s="208"/>
      <c r="Z4" s="209"/>
      <c r="AA4" s="210"/>
      <c r="AB4" s="211"/>
      <c r="AC4" s="211"/>
      <c r="AD4" s="211"/>
      <c r="AE4" s="211"/>
      <c r="AF4" s="211"/>
      <c r="AG4" s="212"/>
    </row>
    <row r="5" spans="2:36" ht="6" customHeight="1" x14ac:dyDescent="0.2">
      <c r="B5" s="213" t="s">
        <v>332</v>
      </c>
      <c r="C5" s="214"/>
      <c r="D5" s="214"/>
      <c r="E5" s="214"/>
      <c r="F5" s="215"/>
      <c r="G5" s="216"/>
      <c r="H5" s="217"/>
      <c r="I5" s="217"/>
      <c r="J5" s="217"/>
      <c r="K5" s="218"/>
      <c r="L5" s="7"/>
      <c r="M5" s="8"/>
      <c r="N5" s="8"/>
      <c r="O5" s="8"/>
      <c r="P5" s="8"/>
      <c r="Q5" s="9"/>
      <c r="R5" s="9"/>
      <c r="S5" s="9"/>
      <c r="T5" s="9"/>
      <c r="U5" s="9"/>
      <c r="V5" s="9"/>
      <c r="W5" s="10"/>
      <c r="X5" s="10"/>
      <c r="Y5" s="10"/>
      <c r="Z5" s="10"/>
      <c r="AA5" s="11"/>
      <c r="AB5" s="11"/>
      <c r="AC5" s="11"/>
      <c r="AD5" s="11"/>
      <c r="AE5" s="11"/>
      <c r="AF5" s="11"/>
      <c r="AG5" s="11"/>
    </row>
    <row r="6" spans="2:36" ht="21" customHeight="1" x14ac:dyDescent="0.2">
      <c r="B6" s="234"/>
      <c r="C6" s="235"/>
      <c r="D6" s="235"/>
      <c r="E6" s="235"/>
      <c r="F6" s="236"/>
      <c r="G6" s="417"/>
      <c r="H6" s="418"/>
      <c r="I6" s="418"/>
      <c r="J6" s="418"/>
      <c r="K6" s="419"/>
      <c r="L6" s="7"/>
      <c r="M6" s="243" t="s">
        <v>333</v>
      </c>
      <c r="N6" s="244"/>
      <c r="O6" s="244"/>
      <c r="P6" s="244"/>
      <c r="Q6" s="244"/>
      <c r="R6" s="244"/>
      <c r="S6" s="244"/>
      <c r="T6" s="244"/>
      <c r="U6" s="244"/>
      <c r="V6" s="244"/>
      <c r="W6" s="244"/>
      <c r="X6" s="244"/>
      <c r="Y6" s="244"/>
      <c r="Z6" s="244"/>
      <c r="AA6" s="244"/>
      <c r="AB6" s="244"/>
      <c r="AC6" s="244"/>
      <c r="AD6" s="244"/>
      <c r="AE6" s="244"/>
      <c r="AF6" s="244"/>
      <c r="AG6" s="245"/>
    </row>
    <row r="7" spans="2:36" ht="25.5" customHeight="1" x14ac:dyDescent="0.2">
      <c r="B7" s="246" t="s">
        <v>334</v>
      </c>
      <c r="C7" s="247"/>
      <c r="D7" s="247"/>
      <c r="E7" s="247"/>
      <c r="F7" s="248"/>
      <c r="G7" s="249"/>
      <c r="H7" s="250"/>
      <c r="I7" s="250"/>
      <c r="J7" s="250"/>
      <c r="K7" s="251"/>
      <c r="L7" s="7"/>
      <c r="M7" s="420"/>
      <c r="N7" s="421"/>
      <c r="O7" s="421"/>
      <c r="P7" s="421"/>
      <c r="Q7" s="421"/>
      <c r="R7" s="421"/>
      <c r="S7" s="421"/>
      <c r="T7" s="421"/>
      <c r="U7" s="421"/>
      <c r="V7" s="421"/>
      <c r="W7" s="421"/>
      <c r="X7" s="421"/>
      <c r="Y7" s="421"/>
      <c r="Z7" s="421"/>
      <c r="AA7" s="421"/>
      <c r="AB7" s="421"/>
      <c r="AC7" s="421"/>
      <c r="AD7" s="421"/>
      <c r="AE7" s="421"/>
      <c r="AF7" s="421"/>
      <c r="AG7" s="422"/>
    </row>
    <row r="8" spans="2:36" ht="25.5" customHeight="1" x14ac:dyDescent="0.2">
      <c r="B8" s="246" t="s">
        <v>335</v>
      </c>
      <c r="C8" s="247"/>
      <c r="D8" s="247"/>
      <c r="E8" s="247"/>
      <c r="F8" s="248"/>
      <c r="G8" s="252"/>
      <c r="H8" s="253"/>
      <c r="I8" s="253"/>
      <c r="J8" s="253"/>
      <c r="K8" s="254"/>
      <c r="L8" s="7"/>
      <c r="M8" s="420"/>
      <c r="N8" s="421"/>
      <c r="O8" s="421"/>
      <c r="P8" s="421"/>
      <c r="Q8" s="421"/>
      <c r="R8" s="421"/>
      <c r="S8" s="421"/>
      <c r="T8" s="421"/>
      <c r="U8" s="421"/>
      <c r="V8" s="421"/>
      <c r="W8" s="421"/>
      <c r="X8" s="421"/>
      <c r="Y8" s="421"/>
      <c r="Z8" s="421"/>
      <c r="AA8" s="421"/>
      <c r="AB8" s="421"/>
      <c r="AC8" s="421"/>
      <c r="AD8" s="421"/>
      <c r="AE8" s="421"/>
      <c r="AF8" s="421"/>
      <c r="AG8" s="422"/>
    </row>
    <row r="9" spans="2:36" ht="10.5" customHeight="1" x14ac:dyDescent="0.2">
      <c r="B9" s="255" t="s">
        <v>336</v>
      </c>
      <c r="C9" s="256"/>
      <c r="D9" s="256"/>
      <c r="E9" s="256"/>
      <c r="F9" s="257"/>
      <c r="G9" s="261"/>
      <c r="H9" s="262"/>
      <c r="I9" s="262"/>
      <c r="J9" s="262"/>
      <c r="K9" s="263"/>
      <c r="L9" s="7"/>
      <c r="M9" s="420"/>
      <c r="N9" s="421"/>
      <c r="O9" s="421"/>
      <c r="P9" s="421"/>
      <c r="Q9" s="421"/>
      <c r="R9" s="421"/>
      <c r="S9" s="421"/>
      <c r="T9" s="421"/>
      <c r="U9" s="421"/>
      <c r="V9" s="421"/>
      <c r="W9" s="421"/>
      <c r="X9" s="421"/>
      <c r="Y9" s="421"/>
      <c r="Z9" s="421"/>
      <c r="AA9" s="421"/>
      <c r="AB9" s="421"/>
      <c r="AC9" s="421"/>
      <c r="AD9" s="421"/>
      <c r="AE9" s="421"/>
      <c r="AF9" s="421"/>
      <c r="AG9" s="422"/>
    </row>
    <row r="10" spans="2:36" ht="15" customHeight="1" thickBot="1" x14ac:dyDescent="0.25">
      <c r="B10" s="258"/>
      <c r="C10" s="259"/>
      <c r="D10" s="259"/>
      <c r="E10" s="259"/>
      <c r="F10" s="260"/>
      <c r="G10" s="264"/>
      <c r="H10" s="265"/>
      <c r="I10" s="265"/>
      <c r="J10" s="265"/>
      <c r="K10" s="266"/>
      <c r="L10" s="7"/>
      <c r="M10" s="406" t="s">
        <v>337</v>
      </c>
      <c r="N10" s="407"/>
      <c r="O10" s="407"/>
      <c r="P10" s="407"/>
      <c r="Q10" s="407"/>
      <c r="R10" s="407"/>
      <c r="S10" s="407"/>
      <c r="T10" s="407"/>
      <c r="U10" s="407"/>
      <c r="V10" s="407"/>
      <c r="W10" s="407"/>
      <c r="X10" s="407"/>
      <c r="Y10" s="407"/>
      <c r="Z10" s="407"/>
      <c r="AA10" s="407"/>
      <c r="AB10" s="407"/>
      <c r="AC10" s="407"/>
      <c r="AD10" s="407"/>
      <c r="AE10" s="407"/>
      <c r="AF10" s="407"/>
      <c r="AG10" s="408"/>
    </row>
    <row r="11" spans="2:36" ht="17.25" customHeight="1" x14ac:dyDescent="0.2">
      <c r="B11" s="267" t="e">
        <f>メーカー加工場!B70</f>
        <v>#REF!</v>
      </c>
      <c r="C11" s="267"/>
      <c r="D11" s="267"/>
      <c r="E11" s="267"/>
      <c r="F11" s="267"/>
      <c r="G11" s="267"/>
      <c r="H11" s="267"/>
      <c r="I11" s="267"/>
      <c r="J11" s="267"/>
      <c r="K11" s="267"/>
      <c r="L11" s="267"/>
      <c r="M11" s="267"/>
      <c r="N11" s="267"/>
      <c r="O11" s="267"/>
      <c r="P11" s="267"/>
      <c r="Q11" s="267"/>
      <c r="R11" s="267"/>
      <c r="S11" s="267"/>
      <c r="T11" s="267"/>
      <c r="U11" s="267"/>
      <c r="V11" s="267"/>
      <c r="W11" s="267"/>
      <c r="X11" s="267"/>
      <c r="Y11" s="267"/>
      <c r="Z11" s="267"/>
      <c r="AA11" s="267"/>
      <c r="AB11" s="267"/>
      <c r="AC11" s="267"/>
      <c r="AD11" s="267"/>
      <c r="AE11" s="267"/>
      <c r="AF11" s="267"/>
      <c r="AG11" s="267"/>
      <c r="AJ11" s="45" t="s">
        <v>1849</v>
      </c>
    </row>
    <row r="12" spans="2:36" ht="6" customHeight="1" thickBot="1" x14ac:dyDescent="0.25">
      <c r="B12" s="12"/>
      <c r="C12" s="12"/>
      <c r="D12" s="12"/>
      <c r="E12" s="12"/>
      <c r="F12" s="12"/>
      <c r="G12" s="12"/>
      <c r="H12" s="12"/>
      <c r="I12" s="12"/>
      <c r="J12" s="12"/>
      <c r="K12" s="12"/>
      <c r="L12" s="12"/>
      <c r="M12" s="12"/>
      <c r="N12" s="12"/>
      <c r="O12" s="12"/>
      <c r="P12" s="12"/>
      <c r="Q12" s="12"/>
      <c r="R12" s="12"/>
      <c r="S12" s="12"/>
      <c r="T12" s="12"/>
      <c r="U12" s="12"/>
      <c r="V12" s="12"/>
      <c r="W12" s="12"/>
      <c r="X12" s="12"/>
      <c r="Y12" s="12"/>
      <c r="Z12" s="12"/>
      <c r="AA12" s="12"/>
      <c r="AB12" s="12"/>
      <c r="AC12" s="12"/>
      <c r="AD12" s="12"/>
      <c r="AE12" s="12"/>
      <c r="AF12" s="12"/>
      <c r="AG12" s="12"/>
    </row>
    <row r="13" spans="2:36" ht="37.5" customHeight="1" x14ac:dyDescent="0.2">
      <c r="B13" s="268" t="s">
        <v>338</v>
      </c>
      <c r="C13" s="269"/>
      <c r="D13" s="269"/>
      <c r="E13" s="269"/>
      <c r="F13" s="269"/>
      <c r="G13" s="270"/>
      <c r="H13" s="409" t="s">
        <v>1842</v>
      </c>
      <c r="I13" s="410"/>
      <c r="J13" s="410"/>
      <c r="K13" s="410"/>
      <c r="L13" s="410"/>
      <c r="M13" s="410"/>
      <c r="N13" s="410"/>
      <c r="O13" s="410"/>
      <c r="P13" s="410"/>
      <c r="Q13" s="411" t="s">
        <v>57</v>
      </c>
      <c r="R13" s="411"/>
      <c r="S13" s="411"/>
      <c r="T13" s="411"/>
      <c r="U13" s="411"/>
      <c r="V13" s="411"/>
      <c r="W13" s="411"/>
      <c r="X13" s="411"/>
      <c r="Y13" s="411"/>
      <c r="Z13" s="411"/>
      <c r="AA13" s="411"/>
      <c r="AB13" s="411"/>
      <c r="AC13" s="411"/>
      <c r="AD13" s="411"/>
      <c r="AE13" s="411"/>
      <c r="AF13" s="411"/>
      <c r="AG13" s="412"/>
      <c r="AJ13" s="46" t="e">
        <f>IF(H13=メーカー加工場!B80,メーカー加工場!C80,メーカー加工場!C81)</f>
        <v>#REF!</v>
      </c>
    </row>
    <row r="14" spans="2:36" ht="20.25" customHeight="1" x14ac:dyDescent="0.2">
      <c r="B14" s="271"/>
      <c r="C14" s="272"/>
      <c r="D14" s="272"/>
      <c r="E14" s="272"/>
      <c r="F14" s="272"/>
      <c r="G14" s="273"/>
      <c r="H14" s="413" t="str">
        <f>VLOOKUP(Q13,メーカー加工場!B46:D65,2,FALSE)</f>
        <v xml:space="preserve"> 〒794-0112　愛媛県今治市玉川町小鴨部甲63</v>
      </c>
      <c r="I14" s="414"/>
      <c r="J14" s="414"/>
      <c r="K14" s="414"/>
      <c r="L14" s="414"/>
      <c r="M14" s="414"/>
      <c r="N14" s="414"/>
      <c r="O14" s="414"/>
      <c r="P14" s="414"/>
      <c r="Q14" s="414"/>
      <c r="R14" s="414"/>
      <c r="S14" s="414"/>
      <c r="T14" s="414"/>
      <c r="U14" s="414"/>
      <c r="V14" s="414"/>
      <c r="W14" s="415" t="s">
        <v>377</v>
      </c>
      <c r="X14" s="415"/>
      <c r="Y14" s="415"/>
      <c r="Z14" s="415" t="str">
        <f>VLOOKUP(Q13,メーカー加工場!B46:D65,3,FALSE)</f>
        <v>0898-55-4219</v>
      </c>
      <c r="AA14" s="415"/>
      <c r="AB14" s="415"/>
      <c r="AC14" s="415"/>
      <c r="AD14" s="415"/>
      <c r="AE14" s="415"/>
      <c r="AF14" s="415"/>
      <c r="AG14" s="416"/>
      <c r="AJ14" s="44" t="s">
        <v>1843</v>
      </c>
    </row>
    <row r="15" spans="2:36" ht="33.75" customHeight="1" x14ac:dyDescent="0.2">
      <c r="B15" s="292" t="s">
        <v>342</v>
      </c>
      <c r="C15" s="293"/>
      <c r="D15" s="293"/>
      <c r="E15" s="293"/>
      <c r="F15" s="293"/>
      <c r="G15" s="294"/>
      <c r="H15" s="298" t="s">
        <v>370</v>
      </c>
      <c r="I15" s="299"/>
      <c r="J15" s="300">
        <v>40967</v>
      </c>
      <c r="K15" s="300"/>
      <c r="L15" s="300"/>
      <c r="M15" s="300"/>
      <c r="N15" s="300"/>
      <c r="O15" s="300"/>
      <c r="P15" s="300"/>
      <c r="Q15" s="302" t="s">
        <v>343</v>
      </c>
      <c r="R15" s="302"/>
      <c r="S15" s="302"/>
      <c r="T15" s="302"/>
      <c r="U15" s="303"/>
      <c r="V15" s="305" t="s">
        <v>344</v>
      </c>
      <c r="W15" s="306"/>
      <c r="X15" s="306"/>
      <c r="Y15" s="306"/>
      <c r="Z15" s="306"/>
      <c r="AA15" s="308" t="s">
        <v>1835</v>
      </c>
      <c r="AB15" s="308"/>
      <c r="AC15" s="308"/>
      <c r="AD15" s="308"/>
      <c r="AE15" s="308"/>
      <c r="AF15" s="308"/>
      <c r="AG15" s="309"/>
      <c r="AJ15" s="50" t="s">
        <v>2701</v>
      </c>
    </row>
    <row r="16" spans="2:36" ht="13.5" customHeight="1" x14ac:dyDescent="0.2">
      <c r="B16" s="295"/>
      <c r="C16" s="296"/>
      <c r="D16" s="296"/>
      <c r="E16" s="296"/>
      <c r="F16" s="296"/>
      <c r="G16" s="297"/>
      <c r="H16" s="310" t="s">
        <v>346</v>
      </c>
      <c r="I16" s="311"/>
      <c r="J16" s="311"/>
      <c r="K16" s="311"/>
      <c r="L16" s="311"/>
      <c r="M16" s="311"/>
      <c r="N16" s="311"/>
      <c r="O16" s="311"/>
      <c r="P16" s="311"/>
      <c r="Q16" s="311"/>
      <c r="R16" s="311"/>
      <c r="S16" s="311"/>
      <c r="T16" s="311"/>
      <c r="U16" s="311"/>
      <c r="V16" s="311"/>
      <c r="W16" s="311"/>
      <c r="X16" s="311"/>
      <c r="Y16" s="311"/>
      <c r="Z16" s="311"/>
      <c r="AA16" s="311"/>
      <c r="AB16" s="311"/>
      <c r="AC16" s="311"/>
      <c r="AD16" s="311"/>
      <c r="AE16" s="311"/>
      <c r="AF16" s="311"/>
      <c r="AG16" s="312"/>
      <c r="AJ16" s="50" t="s">
        <v>3521</v>
      </c>
    </row>
    <row r="17" spans="2:36" ht="33.75" customHeight="1" thickBot="1" x14ac:dyDescent="0.25">
      <c r="B17" s="313" t="s">
        <v>347</v>
      </c>
      <c r="C17" s="314"/>
      <c r="D17" s="314"/>
      <c r="E17" s="314"/>
      <c r="F17" s="314"/>
      <c r="G17" s="315"/>
      <c r="H17" s="316" t="s">
        <v>371</v>
      </c>
      <c r="I17" s="317"/>
      <c r="J17" s="317"/>
      <c r="K17" s="425" t="e">
        <f>メーカー加工場!B75</f>
        <v>#REF!</v>
      </c>
      <c r="L17" s="318"/>
      <c r="M17" s="318"/>
      <c r="N17" s="318"/>
      <c r="O17" s="318"/>
      <c r="P17" s="318"/>
      <c r="Q17" s="318"/>
      <c r="R17" s="318"/>
      <c r="S17" s="318"/>
      <c r="T17" s="319" t="s">
        <v>378</v>
      </c>
      <c r="U17" s="320"/>
      <c r="V17" s="320"/>
      <c r="W17" s="321" t="str">
        <f>メーカー加工場!B71</f>
        <v>●●</v>
      </c>
      <c r="X17" s="321"/>
      <c r="Y17" s="321"/>
      <c r="Z17" s="321"/>
      <c r="AA17" s="321"/>
      <c r="AB17" s="423" t="e">
        <f>AE3</f>
        <v>#REF!</v>
      </c>
      <c r="AC17" s="423"/>
      <c r="AD17" s="423"/>
      <c r="AE17" s="423"/>
      <c r="AF17" s="423"/>
      <c r="AG17" s="424"/>
      <c r="AJ17" s="50" t="s">
        <v>3104</v>
      </c>
    </row>
    <row r="18" spans="2:36" ht="6" customHeight="1" thickBot="1" x14ac:dyDescent="0.25">
      <c r="B18" s="15"/>
      <c r="C18" s="15"/>
      <c r="D18" s="15"/>
      <c r="E18" s="15"/>
      <c r="F18" s="15"/>
      <c r="G18" s="15"/>
      <c r="H18" s="15"/>
      <c r="I18" s="15"/>
      <c r="J18" s="15"/>
      <c r="K18" s="15"/>
      <c r="L18" s="15"/>
      <c r="M18" s="15"/>
      <c r="N18" s="15"/>
      <c r="O18" s="15"/>
      <c r="P18" s="15"/>
      <c r="Q18" s="15"/>
      <c r="R18" s="15"/>
      <c r="S18" s="15"/>
      <c r="T18" s="15"/>
      <c r="U18" s="15"/>
      <c r="V18" s="15"/>
      <c r="W18" s="15"/>
      <c r="X18" s="15"/>
      <c r="Y18" s="15"/>
      <c r="Z18" s="15"/>
      <c r="AA18" s="15"/>
      <c r="AB18" s="15"/>
      <c r="AC18" s="15"/>
      <c r="AD18" s="15"/>
      <c r="AE18" s="15"/>
      <c r="AF18" s="15"/>
      <c r="AG18" s="15"/>
      <c r="AJ18" s="50" t="s">
        <v>3523</v>
      </c>
    </row>
    <row r="19" spans="2:36" ht="24.75" customHeight="1" thickBot="1" x14ac:dyDescent="0.25">
      <c r="B19" s="324" t="s">
        <v>351</v>
      </c>
      <c r="C19" s="325"/>
      <c r="D19" s="325"/>
      <c r="E19" s="325"/>
      <c r="F19" s="325"/>
      <c r="G19" s="325"/>
      <c r="H19" s="325" t="s">
        <v>357</v>
      </c>
      <c r="I19" s="325"/>
      <c r="J19" s="325"/>
      <c r="K19" s="325"/>
      <c r="L19" s="325"/>
      <c r="M19" s="325"/>
      <c r="N19" s="325"/>
      <c r="O19" s="325"/>
      <c r="P19" s="325"/>
      <c r="Q19" s="325"/>
      <c r="R19" s="325"/>
      <c r="S19" s="325"/>
      <c r="T19" s="325" t="s">
        <v>356</v>
      </c>
      <c r="U19" s="325"/>
      <c r="V19" s="325"/>
      <c r="W19" s="325"/>
      <c r="X19" s="325"/>
      <c r="Y19" s="325"/>
      <c r="Z19" s="325"/>
      <c r="AA19" s="326" t="s">
        <v>355</v>
      </c>
      <c r="AB19" s="327"/>
      <c r="AC19" s="17"/>
      <c r="AD19" s="339">
        <f>SUM(AA20:AA39)</f>
        <v>20</v>
      </c>
      <c r="AE19" s="340"/>
      <c r="AF19" s="340"/>
      <c r="AG19" s="341"/>
      <c r="AJ19" s="50" t="s">
        <v>1877</v>
      </c>
    </row>
    <row r="20" spans="2:36" ht="20.25" customHeight="1" x14ac:dyDescent="0.2">
      <c r="B20" s="328">
        <v>1</v>
      </c>
      <c r="C20" s="329"/>
      <c r="D20" s="330" t="str">
        <f>IF(メーカー加工場!$B$78=2,"",メーカー加工場!D112)</f>
        <v>PMZ-1001-1</v>
      </c>
      <c r="E20" s="330"/>
      <c r="F20" s="330"/>
      <c r="G20" s="330"/>
      <c r="H20" s="333" t="str">
        <f>IF(メーカー加工場!$B$78=2,"",メーカー加工場!H112)</f>
        <v>ドライショートスリーブTシャツ(左or右胸ロゴ付き)</v>
      </c>
      <c r="I20" s="333"/>
      <c r="J20" s="333"/>
      <c r="K20" s="333"/>
      <c r="L20" s="333"/>
      <c r="M20" s="333"/>
      <c r="N20" s="333"/>
      <c r="O20" s="333"/>
      <c r="P20" s="333"/>
      <c r="Q20" s="333"/>
      <c r="R20" s="333"/>
      <c r="S20" s="333"/>
      <c r="T20" s="334" t="str">
        <f>IF(メーカー加工場!$B$78=2,"",メーカー加工場!T112)</f>
        <v>右胸_本体BLK×ロゴNVY</v>
      </c>
      <c r="U20" s="335"/>
      <c r="V20" s="335"/>
      <c r="W20" s="335"/>
      <c r="X20" s="336"/>
      <c r="Y20" s="331" t="str">
        <f>IF(メーカー加工場!Y112=0,"",IF(メーカー加工場!$B$78=2,"",メーカー加工場!Y112))</f>
        <v>M</v>
      </c>
      <c r="Z20" s="332"/>
      <c r="AA20" s="337">
        <f>IF(メーカー加工場!$B$78=2,"",メーカー加工場!AA112)</f>
        <v>1</v>
      </c>
      <c r="AB20" s="338"/>
      <c r="AC20" s="17"/>
      <c r="AD20" s="18"/>
      <c r="AE20" s="18"/>
      <c r="AF20" s="18"/>
      <c r="AG20" s="18"/>
      <c r="AJ20" s="50" t="s">
        <v>3524</v>
      </c>
    </row>
    <row r="21" spans="2:36" ht="20.25" customHeight="1" x14ac:dyDescent="0.15">
      <c r="B21" s="349">
        <v>2</v>
      </c>
      <c r="C21" s="350"/>
      <c r="D21" s="351" t="str">
        <f>IF(メーカー加工場!$B$78=2,"",メーカー加工場!D113)</f>
        <v>PMZ-1001-2</v>
      </c>
      <c r="E21" s="352"/>
      <c r="F21" s="352"/>
      <c r="G21" s="353"/>
      <c r="H21" s="342" t="str">
        <f>IF(メーカー加工場!$B$78=2,"",メーカー加工場!H113)</f>
        <v>ドライショートスリーブTシャツ(左or右袖ロゴ付き)</v>
      </c>
      <c r="I21" s="343"/>
      <c r="J21" s="343"/>
      <c r="K21" s="343"/>
      <c r="L21" s="343"/>
      <c r="M21" s="343"/>
      <c r="N21" s="343"/>
      <c r="O21" s="343"/>
      <c r="P21" s="343"/>
      <c r="Q21" s="343"/>
      <c r="R21" s="343"/>
      <c r="S21" s="354"/>
      <c r="T21" s="342" t="str">
        <f>IF(メーカー加工場!$B$78=2,"",メーカー加工場!T113)</f>
        <v>右袖_本体WHT×ロゴHtPNK</v>
      </c>
      <c r="U21" s="343"/>
      <c r="V21" s="343"/>
      <c r="W21" s="343"/>
      <c r="X21" s="344"/>
      <c r="Y21" s="345" t="str">
        <f>IF(メーカー加工場!Y113=0,"",IF(メーカー加工場!$B$78=2,"",メーカー加工場!Y113))</f>
        <v>M</v>
      </c>
      <c r="Z21" s="346"/>
      <c r="AA21" s="347">
        <f>IF(メーカー加工場!$B$78=2,"",メーカー加工場!AA113)</f>
        <v>2</v>
      </c>
      <c r="AB21" s="348"/>
      <c r="AC21" s="15"/>
      <c r="AD21" s="15"/>
      <c r="AE21" s="15"/>
      <c r="AF21" s="15"/>
      <c r="AG21" s="16"/>
      <c r="AJ21" s="50" t="s">
        <v>3525</v>
      </c>
    </row>
    <row r="22" spans="2:36" ht="20.25" customHeight="1" x14ac:dyDescent="0.15">
      <c r="B22" s="349">
        <v>3</v>
      </c>
      <c r="C22" s="350"/>
      <c r="D22" s="351" t="str">
        <f>IF(メーカー加工場!$B$78=2,"",メーカー加工場!D114)</f>
        <v>PMZ-1001-3</v>
      </c>
      <c r="E22" s="352"/>
      <c r="F22" s="352"/>
      <c r="G22" s="353"/>
      <c r="H22" s="342" t="str">
        <f>IF(メーカー加工場!$B$78=2,"",メーカー加工場!H114)</f>
        <v>ドライショートスリーブTシャツ(背中襟下ロゴ付き)</v>
      </c>
      <c r="I22" s="343"/>
      <c r="J22" s="343"/>
      <c r="K22" s="343"/>
      <c r="L22" s="343"/>
      <c r="M22" s="343"/>
      <c r="N22" s="343"/>
      <c r="O22" s="343"/>
      <c r="P22" s="343"/>
      <c r="Q22" s="343"/>
      <c r="R22" s="343"/>
      <c r="S22" s="354"/>
      <c r="T22" s="342" t="str">
        <f>IF(メーカー加工場!$B$78=2,"",メーカー加工場!T114)</f>
        <v>背中襟下_本体NVY×ロゴLmGRN</v>
      </c>
      <c r="U22" s="343"/>
      <c r="V22" s="343"/>
      <c r="W22" s="343"/>
      <c r="X22" s="344"/>
      <c r="Y22" s="345">
        <f>IF(メーカー加工場!Y114=0,"",IF(メーカー加工場!$B$78=2,"",メーカー加工場!Y114))</f>
        <v>150</v>
      </c>
      <c r="Z22" s="346"/>
      <c r="AA22" s="347">
        <f>IF(メーカー加工場!$B$78=2,"",メーカー加工場!AA114)</f>
        <v>3</v>
      </c>
      <c r="AB22" s="348"/>
      <c r="AC22" s="15"/>
      <c r="AD22" s="15"/>
      <c r="AE22" s="15"/>
      <c r="AF22" s="15"/>
      <c r="AG22" s="16"/>
      <c r="AJ22" s="50" t="s">
        <v>3518</v>
      </c>
    </row>
    <row r="23" spans="2:36" ht="20.25" customHeight="1" x14ac:dyDescent="0.15">
      <c r="B23" s="349">
        <v>4</v>
      </c>
      <c r="C23" s="350"/>
      <c r="D23" s="351" t="str">
        <f>IF(メーカー加工場!$B$78=2,"",メーカー加工場!D115)</f>
        <v>PMZ-2001-1</v>
      </c>
      <c r="E23" s="352"/>
      <c r="F23" s="352"/>
      <c r="G23" s="353"/>
      <c r="H23" s="342" t="str">
        <f>IF(メーカー加工場!$B$78=2,"",メーカー加工場!H115)</f>
        <v>ドライロングスリーブTシャツ(左or右胸ロゴ付き)</v>
      </c>
      <c r="I23" s="343"/>
      <c r="J23" s="343"/>
      <c r="K23" s="343"/>
      <c r="L23" s="343"/>
      <c r="M23" s="343"/>
      <c r="N23" s="343"/>
      <c r="O23" s="343"/>
      <c r="P23" s="343"/>
      <c r="Q23" s="343"/>
      <c r="R23" s="343"/>
      <c r="S23" s="354"/>
      <c r="T23" s="342" t="str">
        <f>IF(メーカー加工場!$B$78=2,"",メーカー加工場!T115)</f>
        <v>左胸_本体WHT×ロゴBLU</v>
      </c>
      <c r="U23" s="343"/>
      <c r="V23" s="343"/>
      <c r="W23" s="343"/>
      <c r="X23" s="344"/>
      <c r="Y23" s="345" t="str">
        <f>IF(メーカー加工場!Y115=0,"",IF(メーカー加工場!$B$78=2,"",メーカー加工場!Y115))</f>
        <v>L</v>
      </c>
      <c r="Z23" s="346"/>
      <c r="AA23" s="347">
        <f>IF(メーカー加工場!$B$78=2,"",メーカー加工場!AA115)</f>
        <v>1</v>
      </c>
      <c r="AB23" s="348"/>
      <c r="AC23" s="15"/>
      <c r="AD23" s="15"/>
      <c r="AE23" s="15"/>
      <c r="AF23" s="15"/>
      <c r="AG23" s="16"/>
      <c r="AJ23" s="50" t="s">
        <v>2706</v>
      </c>
    </row>
    <row r="24" spans="2:36" ht="20.25" customHeight="1" x14ac:dyDescent="0.15">
      <c r="B24" s="349">
        <v>5</v>
      </c>
      <c r="C24" s="350"/>
      <c r="D24" s="351" t="str">
        <f>IF(メーカー加工場!$B$78=2,"",メーカー加工場!D116)</f>
        <v>PMZ-2001-2</v>
      </c>
      <c r="E24" s="352"/>
      <c r="F24" s="352"/>
      <c r="G24" s="353"/>
      <c r="H24" s="342" t="str">
        <f>IF(メーカー加工場!$B$78=2,"★別紙参照★",メーカー加工場!H116)</f>
        <v>ドライロングスリーブTシャツ(左or右袖ロゴ付き)</v>
      </c>
      <c r="I24" s="343"/>
      <c r="J24" s="343"/>
      <c r="K24" s="343"/>
      <c r="L24" s="343"/>
      <c r="M24" s="343"/>
      <c r="N24" s="343"/>
      <c r="O24" s="343"/>
      <c r="P24" s="343"/>
      <c r="Q24" s="343"/>
      <c r="R24" s="343"/>
      <c r="S24" s="354"/>
      <c r="T24" s="342" t="str">
        <f>IF(メーカー加工場!$B$78=2,"",メーカー加工場!T116)</f>
        <v>右袖_本体BLK×ロゴRED</v>
      </c>
      <c r="U24" s="343"/>
      <c r="V24" s="343"/>
      <c r="W24" s="343"/>
      <c r="X24" s="344"/>
      <c r="Y24" s="345" t="str">
        <f>IF(メーカー加工場!Y116=0,"",IF(メーカー加工場!$B$78=2,"",メーカー加工場!Y116))</f>
        <v>3XL</v>
      </c>
      <c r="Z24" s="346"/>
      <c r="AA24" s="347">
        <f>IF(メーカー加工場!$B$78=2,"",メーカー加工場!AA116)</f>
        <v>2</v>
      </c>
      <c r="AB24" s="348"/>
      <c r="AC24" s="15"/>
      <c r="AD24" s="15"/>
      <c r="AE24" s="15"/>
      <c r="AF24" s="15"/>
      <c r="AG24" s="16"/>
      <c r="AJ24" s="50" t="s">
        <v>3527</v>
      </c>
    </row>
    <row r="25" spans="2:36" ht="20.25" customHeight="1" x14ac:dyDescent="0.15">
      <c r="B25" s="349">
        <v>6</v>
      </c>
      <c r="C25" s="350"/>
      <c r="D25" s="351" t="str">
        <f>IF(メーカー加工場!$B$78=2,"",メーカー加工場!D117)</f>
        <v>PMZ-2001-3</v>
      </c>
      <c r="E25" s="352"/>
      <c r="F25" s="352"/>
      <c r="G25" s="353"/>
      <c r="H25" s="342" t="str">
        <f>IF(メーカー加工場!$B$78=2,"",メーカー加工場!H117)</f>
        <v>ドライロングスリーブTシャツ(背中襟下ロゴ付き)</v>
      </c>
      <c r="I25" s="343"/>
      <c r="J25" s="343"/>
      <c r="K25" s="343"/>
      <c r="L25" s="343"/>
      <c r="M25" s="343"/>
      <c r="N25" s="343"/>
      <c r="O25" s="343"/>
      <c r="P25" s="343"/>
      <c r="Q25" s="343"/>
      <c r="R25" s="343"/>
      <c r="S25" s="354"/>
      <c r="T25" s="342" t="str">
        <f>IF(メーカー加工場!$B$78=2,"",メーカー加工場!T117)</f>
        <v>背中襟下_本体BLK×ロゴWHT</v>
      </c>
      <c r="U25" s="343"/>
      <c r="V25" s="343"/>
      <c r="W25" s="343"/>
      <c r="X25" s="344"/>
      <c r="Y25" s="345" t="str">
        <f>IF(メーカー加工場!Y117=0,"",IF(メーカー加工場!$B$78=2,"",メーカー加工場!Y117))</f>
        <v>M</v>
      </c>
      <c r="Z25" s="346"/>
      <c r="AA25" s="347">
        <f>IF(メーカー加工場!$B$78=2,"",メーカー加工場!AA117)</f>
        <v>5</v>
      </c>
      <c r="AB25" s="348"/>
      <c r="AC25" s="15"/>
      <c r="AD25" s="15"/>
      <c r="AE25" s="15"/>
      <c r="AF25" s="15"/>
      <c r="AG25" s="16"/>
      <c r="AJ25" s="50" t="s">
        <v>3519</v>
      </c>
    </row>
    <row r="26" spans="2:36" ht="20.25" customHeight="1" x14ac:dyDescent="0.15">
      <c r="B26" s="349">
        <v>7</v>
      </c>
      <c r="C26" s="350"/>
      <c r="D26" s="351" t="str">
        <f>IF(メーカー加工場!$B$78=2,"",メーカー加工場!D118)</f>
        <v>PMZ-3001-1</v>
      </c>
      <c r="E26" s="352"/>
      <c r="F26" s="352"/>
      <c r="G26" s="353"/>
      <c r="H26" s="342" t="str">
        <f>IF(メーカー加工場!$B$78=2,"",メーカー加工場!H118)</f>
        <v>ボタンダウンポロシャツ(左or右胸ロゴ付き)</v>
      </c>
      <c r="I26" s="343"/>
      <c r="J26" s="343"/>
      <c r="K26" s="343"/>
      <c r="L26" s="343"/>
      <c r="M26" s="343"/>
      <c r="N26" s="343"/>
      <c r="O26" s="343"/>
      <c r="P26" s="343"/>
      <c r="Q26" s="343"/>
      <c r="R26" s="343"/>
      <c r="S26" s="354"/>
      <c r="T26" s="342" t="str">
        <f>IF(メーカー加工場!$B$78=2,"",メーカー加工場!T118)</f>
        <v>左胸_本体YEL×ロゴYEL</v>
      </c>
      <c r="U26" s="343"/>
      <c r="V26" s="343"/>
      <c r="W26" s="343"/>
      <c r="X26" s="344"/>
      <c r="Y26" s="345" t="str">
        <f>IF(メーカー加工場!Y118=0,"",IF(メーカー加工場!$B$78=2,"",メーカー加工場!Y118))</f>
        <v>XL</v>
      </c>
      <c r="Z26" s="346"/>
      <c r="AA26" s="347">
        <f>IF(メーカー加工場!$B$78=2,"",メーカー加工場!AA118)</f>
        <v>1</v>
      </c>
      <c r="AB26" s="348"/>
      <c r="AC26" s="15"/>
      <c r="AD26" s="15"/>
      <c r="AE26" s="15"/>
      <c r="AF26" s="15"/>
      <c r="AG26" s="16"/>
      <c r="AJ26" s="50" t="s">
        <v>1844</v>
      </c>
    </row>
    <row r="27" spans="2:36" ht="20.25" customHeight="1" x14ac:dyDescent="0.15">
      <c r="B27" s="349">
        <v>8</v>
      </c>
      <c r="C27" s="350"/>
      <c r="D27" s="351" t="str">
        <f>IF(メーカー加工場!$B$78=2,"",メーカー加工場!D119)</f>
        <v>PMZ-3001-2</v>
      </c>
      <c r="E27" s="352"/>
      <c r="F27" s="352"/>
      <c r="G27" s="353"/>
      <c r="H27" s="342" t="str">
        <f>IF(メーカー加工場!$B$78=2,"",メーカー加工場!H119)</f>
        <v>ボタンダウンポロシャツ(左or右袖ロゴ付き)</v>
      </c>
      <c r="I27" s="343"/>
      <c r="J27" s="343"/>
      <c r="K27" s="343"/>
      <c r="L27" s="343"/>
      <c r="M27" s="343"/>
      <c r="N27" s="343"/>
      <c r="O27" s="343"/>
      <c r="P27" s="343"/>
      <c r="Q27" s="343"/>
      <c r="R27" s="343"/>
      <c r="S27" s="354"/>
      <c r="T27" s="342" t="str">
        <f>IF(メーカー加工場!$B$78=2,"",メーカー加工場!T119)</f>
        <v>右袖_本体BLK×ロゴORG</v>
      </c>
      <c r="U27" s="343"/>
      <c r="V27" s="343"/>
      <c r="W27" s="343"/>
      <c r="X27" s="344"/>
      <c r="Y27" s="345" t="str">
        <f>IF(メーカー加工場!Y119=0,"",IF(メーカー加工場!$B$78=2,"",メーカー加工場!Y119))</f>
        <v>S</v>
      </c>
      <c r="Z27" s="346"/>
      <c r="AA27" s="347">
        <f>IF(メーカー加工場!$B$78=2,"",メーカー加工場!AA119)</f>
        <v>2</v>
      </c>
      <c r="AB27" s="348"/>
      <c r="AC27" s="15"/>
      <c r="AD27" s="15"/>
      <c r="AE27" s="15"/>
      <c r="AF27" s="15"/>
      <c r="AG27" s="16"/>
      <c r="AJ27" s="50" t="s">
        <v>3520</v>
      </c>
    </row>
    <row r="28" spans="2:36" ht="20.25" customHeight="1" x14ac:dyDescent="0.15">
      <c r="B28" s="349">
        <v>9</v>
      </c>
      <c r="C28" s="350"/>
      <c r="D28" s="351" t="str">
        <f>IF(メーカー加工場!$B$78=2,"",メーカー加工場!D120)</f>
        <v>PMZ-3001-3</v>
      </c>
      <c r="E28" s="352"/>
      <c r="F28" s="352"/>
      <c r="G28" s="353"/>
      <c r="H28" s="342" t="str">
        <f>IF(メーカー加工場!$B$78=2,"",メーカー加工場!H120)</f>
        <v>ボタンダウンポロシャツ(背中襟下ロゴ付き)</v>
      </c>
      <c r="I28" s="343"/>
      <c r="J28" s="343"/>
      <c r="K28" s="343"/>
      <c r="L28" s="343"/>
      <c r="M28" s="343"/>
      <c r="N28" s="343"/>
      <c r="O28" s="343"/>
      <c r="P28" s="343"/>
      <c r="Q28" s="343"/>
      <c r="R28" s="343"/>
      <c r="S28" s="354"/>
      <c r="T28" s="342" t="str">
        <f>IF(メーカー加工場!$B$78=2,"",メーカー加工場!T120)</f>
        <v>背中襟下_本体NVY×ロゴHtPNK</v>
      </c>
      <c r="U28" s="343"/>
      <c r="V28" s="343"/>
      <c r="W28" s="343"/>
      <c r="X28" s="344"/>
      <c r="Y28" s="345" t="str">
        <f>IF(メーカー加工場!Y120=0,"",IF(メーカー加工場!$B$78=2,"",メーカー加工場!Y120))</f>
        <v>XS</v>
      </c>
      <c r="Z28" s="346"/>
      <c r="AA28" s="347">
        <f>IF(メーカー加工場!$B$78=2,"",メーカー加工場!AA120)</f>
        <v>3</v>
      </c>
      <c r="AB28" s="348"/>
      <c r="AC28" s="15"/>
      <c r="AD28" s="15"/>
      <c r="AE28" s="15"/>
      <c r="AF28" s="15"/>
      <c r="AG28" s="16"/>
      <c r="AJ28" s="50" t="s">
        <v>57</v>
      </c>
    </row>
    <row r="29" spans="2:36" ht="20.25" customHeight="1" x14ac:dyDescent="0.15">
      <c r="B29" s="349">
        <v>10</v>
      </c>
      <c r="C29" s="350"/>
      <c r="D29" s="351" t="str">
        <f>IF(メーカー加工場!$B$78=2,"",メーカー加工場!D121)</f>
        <v/>
      </c>
      <c r="E29" s="352"/>
      <c r="F29" s="352"/>
      <c r="G29" s="353"/>
      <c r="H29" s="342" t="str">
        <f>IF(メーカー加工場!$B$78=2,"",メーカー加工場!H121)</f>
        <v/>
      </c>
      <c r="I29" s="343"/>
      <c r="J29" s="343"/>
      <c r="K29" s="343"/>
      <c r="L29" s="343"/>
      <c r="M29" s="343"/>
      <c r="N29" s="343"/>
      <c r="O29" s="343"/>
      <c r="P29" s="343"/>
      <c r="Q29" s="343"/>
      <c r="R29" s="343"/>
      <c r="S29" s="354"/>
      <c r="T29" s="342" t="str">
        <f>IF(メーカー加工場!$B$78=2,"",メーカー加工場!T121)</f>
        <v/>
      </c>
      <c r="U29" s="343"/>
      <c r="V29" s="343"/>
      <c r="W29" s="343"/>
      <c r="X29" s="344"/>
      <c r="Y29" s="345" t="str">
        <f>IF(メーカー加工場!Y121=0,"",IF(メーカー加工場!$B$78=2,"",メーカー加工場!Y121))</f>
        <v/>
      </c>
      <c r="Z29" s="346"/>
      <c r="AA29" s="347" t="str">
        <f>IF(メーカー加工場!$B$78=2,"",メーカー加工場!AA121)</f>
        <v/>
      </c>
      <c r="AB29" s="348"/>
      <c r="AC29" s="15"/>
      <c r="AD29" s="15"/>
      <c r="AE29" s="15"/>
      <c r="AF29" s="15"/>
      <c r="AG29" s="16"/>
      <c r="AJ29" s="50" t="s">
        <v>3554</v>
      </c>
    </row>
    <row r="30" spans="2:36" ht="20.25" customHeight="1" x14ac:dyDescent="0.15">
      <c r="B30" s="349">
        <v>11</v>
      </c>
      <c r="C30" s="350"/>
      <c r="D30" s="351" t="str">
        <f>IF(メーカー加工場!$B$78=2,"",メーカー加工場!D122)</f>
        <v/>
      </c>
      <c r="E30" s="352"/>
      <c r="F30" s="352"/>
      <c r="G30" s="353"/>
      <c r="H30" s="342" t="str">
        <f>IF(メーカー加工場!$B$78=2,"",メーカー加工場!H122)</f>
        <v/>
      </c>
      <c r="I30" s="343"/>
      <c r="J30" s="343"/>
      <c r="K30" s="343"/>
      <c r="L30" s="343"/>
      <c r="M30" s="343"/>
      <c r="N30" s="343"/>
      <c r="O30" s="343"/>
      <c r="P30" s="343"/>
      <c r="Q30" s="343"/>
      <c r="R30" s="343"/>
      <c r="S30" s="354"/>
      <c r="T30" s="342" t="str">
        <f>IF(メーカー加工場!$B$78=2,"",メーカー加工場!T122)</f>
        <v/>
      </c>
      <c r="U30" s="343"/>
      <c r="V30" s="343"/>
      <c r="W30" s="343"/>
      <c r="X30" s="344"/>
      <c r="Y30" s="345" t="str">
        <f>IF(メーカー加工場!Y122=0,"",IF(メーカー加工場!$B$78=2,"",メーカー加工場!Y122))</f>
        <v/>
      </c>
      <c r="Z30" s="346"/>
      <c r="AA30" s="347" t="str">
        <f>IF(メーカー加工場!$B$78=2,"",メーカー加工場!AA122)</f>
        <v/>
      </c>
      <c r="AB30" s="348"/>
      <c r="AC30" s="15"/>
      <c r="AD30" s="15"/>
      <c r="AE30" s="15"/>
      <c r="AF30" s="15"/>
      <c r="AG30" s="16"/>
      <c r="AJ30" s="50" t="s">
        <v>1845</v>
      </c>
    </row>
    <row r="31" spans="2:36" ht="20.25" customHeight="1" x14ac:dyDescent="0.15">
      <c r="B31" s="349">
        <v>12</v>
      </c>
      <c r="C31" s="350"/>
      <c r="D31" s="351" t="str">
        <f>IF(メーカー加工場!$B$78=2,"",メーカー加工場!D123)</f>
        <v/>
      </c>
      <c r="E31" s="352"/>
      <c r="F31" s="352"/>
      <c r="G31" s="353"/>
      <c r="H31" s="342" t="str">
        <f>IF(メーカー加工場!$B$78=2,"",メーカー加工場!H123)</f>
        <v/>
      </c>
      <c r="I31" s="343"/>
      <c r="J31" s="343"/>
      <c r="K31" s="343"/>
      <c r="L31" s="343"/>
      <c r="M31" s="343"/>
      <c r="N31" s="343"/>
      <c r="O31" s="343"/>
      <c r="P31" s="343"/>
      <c r="Q31" s="343"/>
      <c r="R31" s="343"/>
      <c r="S31" s="354"/>
      <c r="T31" s="342" t="str">
        <f>IF(メーカー加工場!$B$78=2,"",メーカー加工場!T123)</f>
        <v/>
      </c>
      <c r="U31" s="343"/>
      <c r="V31" s="343"/>
      <c r="W31" s="343"/>
      <c r="X31" s="344"/>
      <c r="Y31" s="345" t="str">
        <f>IF(メーカー加工場!Y123=0,"",IF(メーカー加工場!$B$78=2,"",メーカー加工場!Y123))</f>
        <v/>
      </c>
      <c r="Z31" s="346"/>
      <c r="AA31" s="347" t="str">
        <f>IF(メーカー加工場!$B$78=2,"",メーカー加工場!AA123)</f>
        <v/>
      </c>
      <c r="AB31" s="348"/>
      <c r="AC31" s="15"/>
      <c r="AD31" s="15"/>
      <c r="AE31" s="15"/>
      <c r="AF31" s="15"/>
      <c r="AG31" s="16"/>
      <c r="AJ31" s="50" t="s">
        <v>1846</v>
      </c>
    </row>
    <row r="32" spans="2:36" ht="20.25" customHeight="1" x14ac:dyDescent="0.15">
      <c r="B32" s="349">
        <v>13</v>
      </c>
      <c r="C32" s="350"/>
      <c r="D32" s="351" t="str">
        <f>IF(メーカー加工場!$B$78=2,"",メーカー加工場!D124)</f>
        <v/>
      </c>
      <c r="E32" s="352"/>
      <c r="F32" s="352"/>
      <c r="G32" s="353"/>
      <c r="H32" s="342" t="str">
        <f>IF(メーカー加工場!$B$78=2,"",メーカー加工場!H124)</f>
        <v/>
      </c>
      <c r="I32" s="343"/>
      <c r="J32" s="343"/>
      <c r="K32" s="343"/>
      <c r="L32" s="343"/>
      <c r="M32" s="343"/>
      <c r="N32" s="343"/>
      <c r="O32" s="343"/>
      <c r="P32" s="343"/>
      <c r="Q32" s="343"/>
      <c r="R32" s="343"/>
      <c r="S32" s="354"/>
      <c r="T32" s="342" t="str">
        <f>IF(メーカー加工場!$B$78=2,"",メーカー加工場!T124)</f>
        <v/>
      </c>
      <c r="U32" s="343"/>
      <c r="V32" s="343"/>
      <c r="W32" s="343"/>
      <c r="X32" s="344"/>
      <c r="Y32" s="345" t="str">
        <f>IF(メーカー加工場!Y124=0,"",IF(メーカー加工場!$B$78=2,"",メーカー加工場!Y124))</f>
        <v/>
      </c>
      <c r="Z32" s="346"/>
      <c r="AA32" s="347" t="str">
        <f>IF(メーカー加工場!$B$78=2,"",メーカー加工場!AA124)</f>
        <v/>
      </c>
      <c r="AB32" s="348"/>
      <c r="AC32" s="15"/>
      <c r="AD32" s="15"/>
      <c r="AE32" s="15"/>
      <c r="AF32" s="15"/>
      <c r="AG32" s="16"/>
      <c r="AJ32" s="50" t="s">
        <v>1847</v>
      </c>
    </row>
    <row r="33" spans="2:33" ht="20.25" customHeight="1" x14ac:dyDescent="0.15">
      <c r="B33" s="349">
        <v>14</v>
      </c>
      <c r="C33" s="350"/>
      <c r="D33" s="351" t="str">
        <f>IF(メーカー加工場!$B$78=2,"",メーカー加工場!D125)</f>
        <v/>
      </c>
      <c r="E33" s="352"/>
      <c r="F33" s="352"/>
      <c r="G33" s="353"/>
      <c r="H33" s="342" t="str">
        <f>IF(メーカー加工場!$B$78=2,"",メーカー加工場!H125)</f>
        <v/>
      </c>
      <c r="I33" s="343"/>
      <c r="J33" s="343"/>
      <c r="K33" s="343"/>
      <c r="L33" s="343"/>
      <c r="M33" s="343"/>
      <c r="N33" s="343"/>
      <c r="O33" s="343"/>
      <c r="P33" s="343"/>
      <c r="Q33" s="343"/>
      <c r="R33" s="343"/>
      <c r="S33" s="354"/>
      <c r="T33" s="342" t="str">
        <f>IF(メーカー加工場!$B$78=2,"",メーカー加工場!T125)</f>
        <v/>
      </c>
      <c r="U33" s="343"/>
      <c r="V33" s="343"/>
      <c r="W33" s="343"/>
      <c r="X33" s="344"/>
      <c r="Y33" s="345" t="str">
        <f>IF(メーカー加工場!Y125=0,"",IF(メーカー加工場!$B$78=2,"",メーカー加工場!Y125))</f>
        <v/>
      </c>
      <c r="Z33" s="346"/>
      <c r="AA33" s="347" t="str">
        <f>IF(メーカー加工場!$B$78=2,"",メーカー加工場!AA125)</f>
        <v/>
      </c>
      <c r="AB33" s="348"/>
      <c r="AC33" s="15"/>
      <c r="AD33" s="15"/>
      <c r="AE33" s="15"/>
      <c r="AF33" s="15"/>
      <c r="AG33" s="16"/>
    </row>
    <row r="34" spans="2:33" ht="20.25" customHeight="1" x14ac:dyDescent="0.15">
      <c r="B34" s="349">
        <v>15</v>
      </c>
      <c r="C34" s="350"/>
      <c r="D34" s="351" t="str">
        <f>IF(メーカー加工場!$B$78=2,"",メーカー加工場!D126)</f>
        <v/>
      </c>
      <c r="E34" s="352"/>
      <c r="F34" s="352"/>
      <c r="G34" s="353"/>
      <c r="H34" s="342" t="str">
        <f>IF(メーカー加工場!$B$78=2,"",メーカー加工場!H126)</f>
        <v/>
      </c>
      <c r="I34" s="343"/>
      <c r="J34" s="343"/>
      <c r="K34" s="343"/>
      <c r="L34" s="343"/>
      <c r="M34" s="343"/>
      <c r="N34" s="343"/>
      <c r="O34" s="343"/>
      <c r="P34" s="343"/>
      <c r="Q34" s="343"/>
      <c r="R34" s="343"/>
      <c r="S34" s="354"/>
      <c r="T34" s="342" t="str">
        <f>IF(メーカー加工場!$B$78=2,"",メーカー加工場!T126)</f>
        <v/>
      </c>
      <c r="U34" s="343"/>
      <c r="V34" s="343"/>
      <c r="W34" s="343"/>
      <c r="X34" s="344"/>
      <c r="Y34" s="345" t="str">
        <f>IF(メーカー加工場!Y126=0,"",IF(メーカー加工場!$B$78=2,"",メーカー加工場!Y126))</f>
        <v/>
      </c>
      <c r="Z34" s="346"/>
      <c r="AA34" s="347" t="str">
        <f>IF(メーカー加工場!$B$78=2,"",メーカー加工場!AA126)</f>
        <v/>
      </c>
      <c r="AB34" s="348"/>
      <c r="AC34" s="15"/>
      <c r="AD34" s="15"/>
      <c r="AE34" s="15"/>
      <c r="AF34" s="15"/>
      <c r="AG34" s="16"/>
    </row>
    <row r="35" spans="2:33" ht="20.25" customHeight="1" x14ac:dyDescent="0.15">
      <c r="B35" s="349">
        <v>16</v>
      </c>
      <c r="C35" s="350"/>
      <c r="D35" s="351" t="str">
        <f>IF(メーカー加工場!$B$78=2,"",メーカー加工場!D127)</f>
        <v/>
      </c>
      <c r="E35" s="352"/>
      <c r="F35" s="352"/>
      <c r="G35" s="353"/>
      <c r="H35" s="342" t="str">
        <f>IF(メーカー加工場!$B$78=2,"",メーカー加工場!H127)</f>
        <v/>
      </c>
      <c r="I35" s="343"/>
      <c r="J35" s="343"/>
      <c r="K35" s="343"/>
      <c r="L35" s="343"/>
      <c r="M35" s="343"/>
      <c r="N35" s="343"/>
      <c r="O35" s="343"/>
      <c r="P35" s="343"/>
      <c r="Q35" s="343"/>
      <c r="R35" s="343"/>
      <c r="S35" s="354"/>
      <c r="T35" s="342" t="str">
        <f>IF(メーカー加工場!$B$78=2,"",メーカー加工場!T127)</f>
        <v/>
      </c>
      <c r="U35" s="343"/>
      <c r="V35" s="343"/>
      <c r="W35" s="343"/>
      <c r="X35" s="344"/>
      <c r="Y35" s="345" t="str">
        <f>IF(メーカー加工場!Y127=0,"",IF(メーカー加工場!$B$78=2,"",メーカー加工場!Y127))</f>
        <v/>
      </c>
      <c r="Z35" s="346"/>
      <c r="AA35" s="347" t="str">
        <f>IF(メーカー加工場!$B$78=2,"",メーカー加工場!AA127)</f>
        <v/>
      </c>
      <c r="AB35" s="348"/>
      <c r="AC35" s="15"/>
      <c r="AD35" s="15"/>
      <c r="AE35" s="15"/>
      <c r="AF35" s="15"/>
      <c r="AG35" s="16"/>
    </row>
    <row r="36" spans="2:33" ht="20.25" customHeight="1" x14ac:dyDescent="0.15">
      <c r="B36" s="349">
        <v>17</v>
      </c>
      <c r="C36" s="350"/>
      <c r="D36" s="351" t="str">
        <f>IF(メーカー加工場!$B$78=2,"",メーカー加工場!D128)</f>
        <v/>
      </c>
      <c r="E36" s="352"/>
      <c r="F36" s="352"/>
      <c r="G36" s="353"/>
      <c r="H36" s="342" t="str">
        <f>IF(メーカー加工場!$B$78=2,"",メーカー加工場!H128)</f>
        <v/>
      </c>
      <c r="I36" s="343"/>
      <c r="J36" s="343"/>
      <c r="K36" s="343"/>
      <c r="L36" s="343"/>
      <c r="M36" s="343"/>
      <c r="N36" s="343"/>
      <c r="O36" s="343"/>
      <c r="P36" s="343"/>
      <c r="Q36" s="343"/>
      <c r="R36" s="343"/>
      <c r="S36" s="354"/>
      <c r="T36" s="342" t="str">
        <f>IF(メーカー加工場!$B$78=2,"",メーカー加工場!T128)</f>
        <v/>
      </c>
      <c r="U36" s="343"/>
      <c r="V36" s="343"/>
      <c r="W36" s="343"/>
      <c r="X36" s="344"/>
      <c r="Y36" s="345" t="str">
        <f>IF(メーカー加工場!Y128=0,"",IF(メーカー加工場!$B$78=2,"",メーカー加工場!Y128))</f>
        <v/>
      </c>
      <c r="Z36" s="346"/>
      <c r="AA36" s="347" t="str">
        <f>IF(メーカー加工場!$B$78=2,"",メーカー加工場!AA128)</f>
        <v/>
      </c>
      <c r="AB36" s="348"/>
      <c r="AC36" s="15"/>
      <c r="AD36" s="15"/>
      <c r="AE36" s="15"/>
      <c r="AF36" s="15"/>
      <c r="AG36" s="16"/>
    </row>
    <row r="37" spans="2:33" ht="20.25" customHeight="1" x14ac:dyDescent="0.15">
      <c r="B37" s="349">
        <v>18</v>
      </c>
      <c r="C37" s="350"/>
      <c r="D37" s="351" t="str">
        <f>IF(メーカー加工場!$B$78=2,"",メーカー加工場!D129)</f>
        <v/>
      </c>
      <c r="E37" s="352"/>
      <c r="F37" s="352"/>
      <c r="G37" s="353"/>
      <c r="H37" s="342" t="str">
        <f>IF(メーカー加工場!$B$78=2,"",メーカー加工場!H129)</f>
        <v/>
      </c>
      <c r="I37" s="343"/>
      <c r="J37" s="343"/>
      <c r="K37" s="343"/>
      <c r="L37" s="343"/>
      <c r="M37" s="343"/>
      <c r="N37" s="343"/>
      <c r="O37" s="343"/>
      <c r="P37" s="343"/>
      <c r="Q37" s="343"/>
      <c r="R37" s="343"/>
      <c r="S37" s="354"/>
      <c r="T37" s="342" t="str">
        <f>IF(メーカー加工場!$B$78=2,"",メーカー加工場!T129)</f>
        <v/>
      </c>
      <c r="U37" s="343"/>
      <c r="V37" s="343"/>
      <c r="W37" s="343"/>
      <c r="X37" s="344"/>
      <c r="Y37" s="345" t="str">
        <f>IF(メーカー加工場!Y129=0,"",IF(メーカー加工場!$B$78=2,"",メーカー加工場!Y129))</f>
        <v/>
      </c>
      <c r="Z37" s="346"/>
      <c r="AA37" s="347" t="str">
        <f>IF(メーカー加工場!$B$78=2,"",メーカー加工場!AA129)</f>
        <v/>
      </c>
      <c r="AB37" s="348"/>
      <c r="AC37" s="15"/>
      <c r="AD37" s="15"/>
      <c r="AE37" s="15"/>
      <c r="AF37" s="15"/>
      <c r="AG37" s="16"/>
    </row>
    <row r="38" spans="2:33" ht="20.25" customHeight="1" x14ac:dyDescent="0.15">
      <c r="B38" s="349">
        <v>19</v>
      </c>
      <c r="C38" s="350"/>
      <c r="D38" s="351" t="str">
        <f>IF(メーカー加工場!$B$78=2,"",メーカー加工場!D130)</f>
        <v/>
      </c>
      <c r="E38" s="352"/>
      <c r="F38" s="352"/>
      <c r="G38" s="353"/>
      <c r="H38" s="342" t="str">
        <f>IF(メーカー加工場!$B$78=2,"",メーカー加工場!H130)</f>
        <v/>
      </c>
      <c r="I38" s="343"/>
      <c r="J38" s="343"/>
      <c r="K38" s="343"/>
      <c r="L38" s="343"/>
      <c r="M38" s="343"/>
      <c r="N38" s="343"/>
      <c r="O38" s="343"/>
      <c r="P38" s="343"/>
      <c r="Q38" s="343"/>
      <c r="R38" s="343"/>
      <c r="S38" s="354"/>
      <c r="T38" s="342" t="str">
        <f>IF(メーカー加工場!$B$78=2,"",メーカー加工場!T130)</f>
        <v/>
      </c>
      <c r="U38" s="343"/>
      <c r="V38" s="343"/>
      <c r="W38" s="343"/>
      <c r="X38" s="344"/>
      <c r="Y38" s="345" t="str">
        <f>IF(メーカー加工場!Y130=0,"",IF(メーカー加工場!$B$78=2,"",メーカー加工場!Y130))</f>
        <v/>
      </c>
      <c r="Z38" s="346"/>
      <c r="AA38" s="347" t="str">
        <f>IF(メーカー加工場!$B$78=2,"",メーカー加工場!AA130)</f>
        <v/>
      </c>
      <c r="AB38" s="348"/>
      <c r="AC38" s="15"/>
      <c r="AD38" s="15"/>
      <c r="AE38" s="15"/>
      <c r="AF38" s="15"/>
      <c r="AG38" s="16"/>
    </row>
    <row r="39" spans="2:33" ht="20.25" customHeight="1" thickBot="1" x14ac:dyDescent="0.2">
      <c r="B39" s="370">
        <v>20</v>
      </c>
      <c r="C39" s="371"/>
      <c r="D39" s="372" t="str">
        <f>IF(メーカー加工場!$B$78=2,"",メーカー加工場!D131)</f>
        <v/>
      </c>
      <c r="E39" s="373"/>
      <c r="F39" s="373"/>
      <c r="G39" s="374"/>
      <c r="H39" s="375" t="str">
        <f>IF(メーカー加工場!$B$78=2,"",メーカー加工場!H131)</f>
        <v/>
      </c>
      <c r="I39" s="376"/>
      <c r="J39" s="376"/>
      <c r="K39" s="376"/>
      <c r="L39" s="376"/>
      <c r="M39" s="376"/>
      <c r="N39" s="376"/>
      <c r="O39" s="376"/>
      <c r="P39" s="376"/>
      <c r="Q39" s="376"/>
      <c r="R39" s="376"/>
      <c r="S39" s="377"/>
      <c r="T39" s="375" t="str">
        <f>IF(メーカー加工場!$B$78=2,"",メーカー加工場!T131)</f>
        <v/>
      </c>
      <c r="U39" s="376"/>
      <c r="V39" s="376"/>
      <c r="W39" s="376"/>
      <c r="X39" s="380"/>
      <c r="Y39" s="381" t="str">
        <f>IF(メーカー加工場!Y131=0,"",IF(メーカー加工場!$B$78=2,"",メーカー加工場!Y131))</f>
        <v/>
      </c>
      <c r="Z39" s="382"/>
      <c r="AA39" s="378" t="str">
        <f>IF(メーカー加工場!$B$78=2,"",メーカー加工場!AA131)</f>
        <v/>
      </c>
      <c r="AB39" s="379"/>
      <c r="AC39" s="15"/>
      <c r="AD39" s="15"/>
      <c r="AE39" s="15"/>
      <c r="AF39" s="15"/>
      <c r="AG39" s="16"/>
    </row>
    <row r="40" spans="2:33" ht="4.5" customHeight="1" thickBot="1" x14ac:dyDescent="0.25">
      <c r="B40" s="15"/>
      <c r="C40" s="15"/>
      <c r="D40" s="15"/>
      <c r="E40" s="15"/>
      <c r="F40" s="15"/>
      <c r="G40" s="15"/>
      <c r="H40" s="15"/>
      <c r="I40" s="15"/>
      <c r="J40" s="15"/>
      <c r="K40" s="15"/>
      <c r="L40" s="15"/>
      <c r="M40" s="15"/>
      <c r="N40" s="15"/>
      <c r="O40" s="15"/>
      <c r="P40" s="15"/>
      <c r="Q40" s="15"/>
      <c r="R40" s="15"/>
      <c r="S40" s="15"/>
      <c r="T40" s="15"/>
      <c r="U40" s="15"/>
      <c r="V40" s="15"/>
      <c r="W40" s="15"/>
      <c r="X40" s="15"/>
      <c r="Y40" s="15"/>
      <c r="Z40" s="15"/>
      <c r="AA40" s="15"/>
      <c r="AB40" s="15"/>
      <c r="AC40" s="15"/>
      <c r="AD40" s="15"/>
      <c r="AE40" s="15"/>
      <c r="AF40" s="15"/>
      <c r="AG40" s="15"/>
    </row>
    <row r="41" spans="2:33" ht="23.25" customHeight="1" thickTop="1" x14ac:dyDescent="0.2">
      <c r="B41" s="355" t="s">
        <v>352</v>
      </c>
      <c r="C41" s="356"/>
      <c r="D41" s="356"/>
      <c r="E41" s="356"/>
      <c r="F41" s="356"/>
      <c r="G41" s="356"/>
      <c r="H41" s="359" t="s">
        <v>381</v>
      </c>
      <c r="I41" s="360"/>
      <c r="J41" s="360"/>
      <c r="K41" s="360"/>
      <c r="L41" s="360"/>
      <c r="M41" s="360"/>
      <c r="N41" s="360"/>
      <c r="O41" s="360"/>
      <c r="P41" s="360"/>
      <c r="Q41" s="360"/>
      <c r="R41" s="360"/>
      <c r="S41" s="360"/>
      <c r="T41" s="361" t="e">
        <f>メーカー加工場!B82</f>
        <v>#REF!</v>
      </c>
      <c r="U41" s="361"/>
      <c r="V41" s="361"/>
      <c r="W41" s="361"/>
      <c r="X41" s="361"/>
      <c r="Y41" s="361"/>
      <c r="Z41" s="361"/>
      <c r="AA41" s="361"/>
      <c r="AB41" s="361"/>
      <c r="AC41" s="361"/>
      <c r="AD41" s="361"/>
      <c r="AE41" s="361"/>
      <c r="AF41" s="361"/>
      <c r="AG41" s="49"/>
    </row>
    <row r="42" spans="2:33" ht="23.25" customHeight="1" thickBot="1" x14ac:dyDescent="0.25">
      <c r="B42" s="357"/>
      <c r="C42" s="358"/>
      <c r="D42" s="358"/>
      <c r="E42" s="358"/>
      <c r="F42" s="358"/>
      <c r="G42" s="358"/>
      <c r="H42" s="362" t="s">
        <v>380</v>
      </c>
      <c r="I42" s="363"/>
      <c r="J42" s="363"/>
      <c r="K42" s="363"/>
      <c r="L42" s="363"/>
      <c r="M42" s="363"/>
      <c r="N42" s="363"/>
      <c r="O42" s="363"/>
      <c r="P42" s="426"/>
      <c r="Q42" s="426"/>
      <c r="R42" s="426"/>
      <c r="S42" s="426"/>
      <c r="T42" s="426"/>
      <c r="U42" s="426"/>
      <c r="V42" s="426"/>
      <c r="W42" s="426"/>
      <c r="X42" s="426"/>
      <c r="Y42" s="426"/>
      <c r="Z42" s="426"/>
      <c r="AA42" s="426"/>
      <c r="AB42" s="426"/>
      <c r="AC42" s="426"/>
      <c r="AD42" s="426"/>
      <c r="AE42" s="426"/>
      <c r="AF42" s="426"/>
      <c r="AG42" s="32"/>
    </row>
    <row r="43" spans="2:33" ht="4.5" customHeight="1" thickTop="1" x14ac:dyDescent="0.2"/>
  </sheetData>
  <mergeCells count="176">
    <mergeCell ref="B41:G42"/>
    <mergeCell ref="H41:S41"/>
    <mergeCell ref="B39:C39"/>
    <mergeCell ref="D39:G39"/>
    <mergeCell ref="T41:AF41"/>
    <mergeCell ref="H42:O42"/>
    <mergeCell ref="P42:AF42"/>
    <mergeCell ref="Y39:Z39"/>
    <mergeCell ref="AA39:AB39"/>
    <mergeCell ref="H39:S39"/>
    <mergeCell ref="T39:X39"/>
    <mergeCell ref="T38:X38"/>
    <mergeCell ref="Y36:Z36"/>
    <mergeCell ref="AA36:AB36"/>
    <mergeCell ref="Y38:Z38"/>
    <mergeCell ref="AA38:AB38"/>
    <mergeCell ref="Y37:Z37"/>
    <mergeCell ref="AA37:AB37"/>
    <mergeCell ref="B36:C36"/>
    <mergeCell ref="D36:G36"/>
    <mergeCell ref="H36:S36"/>
    <mergeCell ref="T36:X36"/>
    <mergeCell ref="B37:C37"/>
    <mergeCell ref="D37:G37"/>
    <mergeCell ref="H37:S37"/>
    <mergeCell ref="T37:X37"/>
    <mergeCell ref="B38:C38"/>
    <mergeCell ref="D38:G38"/>
    <mergeCell ref="H38:S38"/>
    <mergeCell ref="B34:C34"/>
    <mergeCell ref="D34:G34"/>
    <mergeCell ref="Y35:Z35"/>
    <mergeCell ref="AA35:AB35"/>
    <mergeCell ref="B35:C35"/>
    <mergeCell ref="D35:G35"/>
    <mergeCell ref="H35:S35"/>
    <mergeCell ref="T35:X35"/>
    <mergeCell ref="Y34:Z34"/>
    <mergeCell ref="AA34:AB34"/>
    <mergeCell ref="H34:S34"/>
    <mergeCell ref="T34:X34"/>
    <mergeCell ref="AA33:AB33"/>
    <mergeCell ref="B33:C33"/>
    <mergeCell ref="D33:G33"/>
    <mergeCell ref="H33:S33"/>
    <mergeCell ref="T33:X33"/>
    <mergeCell ref="Y32:Z32"/>
    <mergeCell ref="AA32:AB32"/>
    <mergeCell ref="T31:X31"/>
    <mergeCell ref="Y31:Z31"/>
    <mergeCell ref="AA31:AB31"/>
    <mergeCell ref="T32:X32"/>
    <mergeCell ref="B32:C32"/>
    <mergeCell ref="D32:G32"/>
    <mergeCell ref="B30:C30"/>
    <mergeCell ref="H30:S30"/>
    <mergeCell ref="T30:X30"/>
    <mergeCell ref="Y28:Z28"/>
    <mergeCell ref="H32:S32"/>
    <mergeCell ref="B31:C31"/>
    <mergeCell ref="D31:G31"/>
    <mergeCell ref="H31:S31"/>
    <mergeCell ref="Y33:Z33"/>
    <mergeCell ref="Y27:Z27"/>
    <mergeCell ref="B25:C25"/>
    <mergeCell ref="D25:G25"/>
    <mergeCell ref="H25:S25"/>
    <mergeCell ref="T25:X25"/>
    <mergeCell ref="D30:G30"/>
    <mergeCell ref="AA27:AB27"/>
    <mergeCell ref="B28:C28"/>
    <mergeCell ref="D28:G28"/>
    <mergeCell ref="H28:S28"/>
    <mergeCell ref="T28:X28"/>
    <mergeCell ref="B27:C27"/>
    <mergeCell ref="D27:G27"/>
    <mergeCell ref="H27:S27"/>
    <mergeCell ref="T27:X27"/>
    <mergeCell ref="B29:C29"/>
    <mergeCell ref="D29:G29"/>
    <mergeCell ref="H29:S29"/>
    <mergeCell ref="T29:X29"/>
    <mergeCell ref="AA28:AB28"/>
    <mergeCell ref="Y30:Z30"/>
    <mergeCell ref="AA30:AB30"/>
    <mergeCell ref="Y29:Z29"/>
    <mergeCell ref="AA29:AB29"/>
    <mergeCell ref="B24:C24"/>
    <mergeCell ref="D24:G24"/>
    <mergeCell ref="H24:S24"/>
    <mergeCell ref="T24:X24"/>
    <mergeCell ref="T22:X22"/>
    <mergeCell ref="AA22:AB22"/>
    <mergeCell ref="AA25:AB25"/>
    <mergeCell ref="T26:X26"/>
    <mergeCell ref="Y24:Z24"/>
    <mergeCell ref="AA24:AB24"/>
    <mergeCell ref="Y26:Z26"/>
    <mergeCell ref="AA26:AB26"/>
    <mergeCell ref="Y25:Z25"/>
    <mergeCell ref="B26:C26"/>
    <mergeCell ref="D26:G26"/>
    <mergeCell ref="H26:S26"/>
    <mergeCell ref="B21:C21"/>
    <mergeCell ref="D21:G21"/>
    <mergeCell ref="H21:S21"/>
    <mergeCell ref="T21:X21"/>
    <mergeCell ref="Y21:Z21"/>
    <mergeCell ref="AA21:AB21"/>
    <mergeCell ref="B22:C22"/>
    <mergeCell ref="D22:G22"/>
    <mergeCell ref="Y23:Z23"/>
    <mergeCell ref="AA23:AB23"/>
    <mergeCell ref="B23:C23"/>
    <mergeCell ref="D23:G23"/>
    <mergeCell ref="H23:S23"/>
    <mergeCell ref="T23:X23"/>
    <mergeCell ref="Y22:Z22"/>
    <mergeCell ref="H22:S22"/>
    <mergeCell ref="B15:G16"/>
    <mergeCell ref="H15:I15"/>
    <mergeCell ref="J15:P15"/>
    <mergeCell ref="Q15:U15"/>
    <mergeCell ref="V15:Z15"/>
    <mergeCell ref="AA15:AG15"/>
    <mergeCell ref="H16:AG16"/>
    <mergeCell ref="H20:S20"/>
    <mergeCell ref="T20:X20"/>
    <mergeCell ref="W17:AA17"/>
    <mergeCell ref="AB17:AG17"/>
    <mergeCell ref="B17:G17"/>
    <mergeCell ref="H17:J17"/>
    <mergeCell ref="K17:S17"/>
    <mergeCell ref="T17:V17"/>
    <mergeCell ref="AA20:AB20"/>
    <mergeCell ref="AD19:AG19"/>
    <mergeCell ref="Y20:Z20"/>
    <mergeCell ref="B19:G19"/>
    <mergeCell ref="H19:S19"/>
    <mergeCell ref="T19:Z19"/>
    <mergeCell ref="AA19:AB19"/>
    <mergeCell ref="B20:C20"/>
    <mergeCell ref="D20:G20"/>
    <mergeCell ref="M10:AG10"/>
    <mergeCell ref="B11:AG11"/>
    <mergeCell ref="B13:G14"/>
    <mergeCell ref="H13:P13"/>
    <mergeCell ref="Q13:AG13"/>
    <mergeCell ref="H14:V14"/>
    <mergeCell ref="W14:Y14"/>
    <mergeCell ref="Z14:AG14"/>
    <mergeCell ref="B5:F6"/>
    <mergeCell ref="G5:K6"/>
    <mergeCell ref="M6:AG6"/>
    <mergeCell ref="B7:F7"/>
    <mergeCell ref="G7:K7"/>
    <mergeCell ref="M7:AG9"/>
    <mergeCell ref="B8:F8"/>
    <mergeCell ref="G8:K8"/>
    <mergeCell ref="B9:F10"/>
    <mergeCell ref="G9:K10"/>
    <mergeCell ref="W4:Z4"/>
    <mergeCell ref="AA4:AG4"/>
    <mergeCell ref="B4:F4"/>
    <mergeCell ref="G4:K4"/>
    <mergeCell ref="M4:O4"/>
    <mergeCell ref="P4:V4"/>
    <mergeCell ref="C1:R1"/>
    <mergeCell ref="S1:AG1"/>
    <mergeCell ref="B3:F3"/>
    <mergeCell ref="G3:K3"/>
    <mergeCell ref="M3:O3"/>
    <mergeCell ref="P3:V3"/>
    <mergeCell ref="W3:Z3"/>
    <mergeCell ref="AA3:AD3"/>
    <mergeCell ref="AE3:AG3"/>
  </mergeCells>
  <phoneticPr fontId="6"/>
  <dataValidations count="2">
    <dataValidation type="list" allowBlank="1" showInputMessage="1" showErrorMessage="1" sqref="Q13:AG13" xr:uid="{00000000-0002-0000-0200-000000000000}">
      <formula1>$AJ$13:$AJ$32</formula1>
    </dataValidation>
    <dataValidation type="list" allowBlank="1" showInputMessage="1" showErrorMessage="1" sqref="H13:P13" xr:uid="{00000000-0002-0000-0200-000001000000}">
      <formula1>"加工場直送⇒,弊社まで⇒"</formula1>
    </dataValidation>
  </dataValidations>
  <pageMargins left="0.43307086614173229" right="0.43307086614173229" top="0.47244094488188981" bottom="0.47244094488188981" header="0.31496062992125984" footer="0.31496062992125984"/>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tabColor rgb="FF66FFFF"/>
  </sheetPr>
  <dimension ref="B1:AI42"/>
  <sheetViews>
    <sheetView view="pageBreakPreview" zoomScale="60" zoomScaleNormal="100" workbookViewId="0">
      <selection activeCell="H20" sqref="H20:AD20"/>
    </sheetView>
  </sheetViews>
  <sheetFormatPr defaultRowHeight="13.2" x14ac:dyDescent="0.2"/>
  <cols>
    <col min="1" max="1" width="0.44140625" customWidth="1"/>
    <col min="2" max="2" width="1.88671875" customWidth="1"/>
    <col min="3" max="3" width="1.21875" customWidth="1"/>
    <col min="4" max="4" width="3.33203125" customWidth="1"/>
    <col min="5" max="5" width="5" customWidth="1"/>
    <col min="6" max="6" width="2.109375" customWidth="1"/>
    <col min="7" max="7" width="3" customWidth="1"/>
    <col min="8" max="8" width="1" customWidth="1"/>
    <col min="9" max="9" width="4.44140625" customWidth="1"/>
    <col min="10" max="10" width="5.21875" customWidth="1"/>
    <col min="11" max="11" width="1.21875" customWidth="1"/>
    <col min="12" max="12" width="4.6640625" customWidth="1"/>
    <col min="13" max="13" width="2.6640625" customWidth="1"/>
    <col min="14" max="14" width="3.21875" customWidth="1"/>
    <col min="15" max="15" width="2.44140625" customWidth="1"/>
    <col min="16" max="16" width="2.6640625" customWidth="1"/>
    <col min="17" max="17" width="5.44140625" customWidth="1"/>
    <col min="18" max="18" width="4.109375" customWidth="1"/>
    <col min="19" max="19" width="4.33203125" customWidth="1"/>
    <col min="20" max="20" width="4.21875" customWidth="1"/>
    <col min="21" max="21" width="4.44140625" customWidth="1"/>
    <col min="22" max="22" width="5" customWidth="1"/>
    <col min="23" max="23" width="2.44140625" customWidth="1"/>
    <col min="24" max="24" width="3.109375" customWidth="1"/>
    <col min="25" max="25" width="6.44140625" customWidth="1"/>
    <col min="26" max="26" width="1.109375" customWidth="1"/>
    <col min="27" max="28" width="3" customWidth="1"/>
    <col min="29" max="29" width="2.21875" customWidth="1"/>
    <col min="30" max="30" width="1.44140625" customWidth="1"/>
    <col min="31" max="31" width="0.44140625" customWidth="1"/>
    <col min="32" max="32" width="1.77734375" customWidth="1"/>
    <col min="33" max="33" width="7.88671875" customWidth="1"/>
    <col min="34" max="34" width="6.6640625" customWidth="1"/>
    <col min="35" max="35" width="7.44140625" customWidth="1"/>
    <col min="39" max="39" width="9.77734375" customWidth="1"/>
    <col min="40" max="40" width="77.109375" customWidth="1"/>
    <col min="41" max="41" width="15" customWidth="1"/>
  </cols>
  <sheetData>
    <row r="1" spans="2:30" ht="33.75" customHeight="1" x14ac:dyDescent="0.2">
      <c r="B1" s="3" t="s">
        <v>3569</v>
      </c>
      <c r="C1" s="187" t="e">
        <f>メーカー加工場!B69</f>
        <v>#REF!</v>
      </c>
      <c r="D1" s="187"/>
      <c r="E1" s="187"/>
      <c r="F1" s="187"/>
      <c r="G1" s="187"/>
      <c r="H1" s="187"/>
      <c r="I1" s="187"/>
      <c r="J1" s="187"/>
      <c r="K1" s="187"/>
      <c r="L1" s="187"/>
      <c r="M1" s="187"/>
      <c r="N1" s="187"/>
      <c r="O1" s="187"/>
      <c r="P1" s="187"/>
      <c r="Q1" s="187"/>
      <c r="R1" s="403" t="s">
        <v>368</v>
      </c>
      <c r="S1" s="403"/>
      <c r="T1" s="403"/>
      <c r="U1" s="403"/>
      <c r="V1" s="403"/>
      <c r="W1" s="403"/>
      <c r="X1" s="403"/>
      <c r="Y1" s="403"/>
      <c r="Z1" s="403"/>
      <c r="AA1" s="403"/>
      <c r="AB1" s="403"/>
      <c r="AC1" s="403"/>
      <c r="AD1" s="403"/>
    </row>
    <row r="2" spans="2:30" ht="3.75" customHeight="1" thickBot="1" x14ac:dyDescent="0.25">
      <c r="B2" s="3"/>
      <c r="C2" s="4"/>
      <c r="D2" s="4"/>
      <c r="E2" s="4"/>
      <c r="F2" s="4"/>
      <c r="G2" s="4"/>
      <c r="H2" s="4"/>
      <c r="I2" s="4"/>
      <c r="J2" s="4"/>
      <c r="K2" s="4"/>
      <c r="L2" s="4"/>
      <c r="M2" s="4"/>
      <c r="N2" s="4"/>
      <c r="O2" s="4"/>
      <c r="P2" s="4"/>
      <c r="Q2" s="4"/>
      <c r="R2" s="5"/>
      <c r="S2" s="5"/>
      <c r="T2" s="5"/>
      <c r="U2" s="5"/>
      <c r="V2" s="5"/>
      <c r="W2" s="5"/>
      <c r="X2" s="5"/>
      <c r="Y2" s="5"/>
      <c r="Z2" s="5"/>
      <c r="AA2" s="5"/>
      <c r="AB2" s="5"/>
      <c r="AC2" s="5"/>
      <c r="AD2" s="5"/>
    </row>
    <row r="3" spans="2:30" ht="30" customHeight="1" x14ac:dyDescent="0.2">
      <c r="B3" s="189" t="s">
        <v>325</v>
      </c>
      <c r="C3" s="190"/>
      <c r="D3" s="190"/>
      <c r="E3" s="190"/>
      <c r="F3" s="191"/>
      <c r="G3" s="192" t="s">
        <v>326</v>
      </c>
      <c r="H3" s="190"/>
      <c r="I3" s="190"/>
      <c r="J3" s="193"/>
      <c r="K3" s="6"/>
      <c r="L3" s="194" t="s">
        <v>327</v>
      </c>
      <c r="M3" s="195"/>
      <c r="N3" s="196"/>
      <c r="O3" s="427" t="s">
        <v>354</v>
      </c>
      <c r="P3" s="428"/>
      <c r="Q3" s="428"/>
      <c r="R3" s="428"/>
      <c r="S3" s="428"/>
      <c r="T3" s="428"/>
      <c r="U3" s="429"/>
      <c r="V3" s="200" t="s">
        <v>328</v>
      </c>
      <c r="W3" s="201"/>
      <c r="X3" s="202"/>
      <c r="Y3" s="430" t="str">
        <f>メーカー加工場!B71</f>
        <v>●●</v>
      </c>
      <c r="Z3" s="431"/>
      <c r="AA3" s="431"/>
      <c r="AB3" s="431"/>
      <c r="AC3" s="431"/>
      <c r="AD3" s="432"/>
    </row>
    <row r="4" spans="2:30" ht="25.5" customHeight="1" thickBot="1" x14ac:dyDescent="0.25">
      <c r="B4" s="213" t="s">
        <v>329</v>
      </c>
      <c r="C4" s="214"/>
      <c r="D4" s="214"/>
      <c r="E4" s="214"/>
      <c r="F4" s="215"/>
      <c r="G4" s="237">
        <f ca="1">TODAY()</f>
        <v>45831</v>
      </c>
      <c r="H4" s="238"/>
      <c r="I4" s="238"/>
      <c r="J4" s="239"/>
      <c r="K4" s="7"/>
      <c r="L4" s="219" t="s">
        <v>330</v>
      </c>
      <c r="M4" s="220"/>
      <c r="N4" s="221"/>
      <c r="O4" s="433"/>
      <c r="P4" s="434"/>
      <c r="Q4" s="434"/>
      <c r="R4" s="434"/>
      <c r="S4" s="434"/>
      <c r="T4" s="434"/>
      <c r="U4" s="435"/>
      <c r="V4" s="207" t="s">
        <v>331</v>
      </c>
      <c r="W4" s="208"/>
      <c r="X4" s="209"/>
      <c r="Y4" s="210"/>
      <c r="Z4" s="211"/>
      <c r="AA4" s="211"/>
      <c r="AB4" s="211"/>
      <c r="AC4" s="211"/>
      <c r="AD4" s="212"/>
    </row>
    <row r="5" spans="2:30" ht="3.75" customHeight="1" x14ac:dyDescent="0.2">
      <c r="B5" s="213" t="s">
        <v>332</v>
      </c>
      <c r="C5" s="214"/>
      <c r="D5" s="214"/>
      <c r="E5" s="214"/>
      <c r="F5" s="215"/>
      <c r="G5" s="237"/>
      <c r="H5" s="238"/>
      <c r="I5" s="238"/>
      <c r="J5" s="239"/>
      <c r="K5" s="7"/>
      <c r="L5" s="8"/>
      <c r="M5" s="8"/>
      <c r="N5" s="8"/>
      <c r="O5" s="8"/>
      <c r="P5" s="9"/>
      <c r="Q5" s="9"/>
      <c r="R5" s="9"/>
      <c r="S5" s="9"/>
      <c r="T5" s="9"/>
      <c r="U5" s="9"/>
      <c r="V5" s="10"/>
      <c r="W5" s="10"/>
      <c r="X5" s="10"/>
      <c r="Y5" s="11"/>
      <c r="Z5" s="11"/>
      <c r="AA5" s="11"/>
      <c r="AB5" s="11"/>
      <c r="AC5" s="11"/>
      <c r="AD5" s="11"/>
    </row>
    <row r="6" spans="2:30" ht="21" customHeight="1" x14ac:dyDescent="0.2">
      <c r="B6" s="234"/>
      <c r="C6" s="235"/>
      <c r="D6" s="235"/>
      <c r="E6" s="235"/>
      <c r="F6" s="236"/>
      <c r="G6" s="240"/>
      <c r="H6" s="241"/>
      <c r="I6" s="241"/>
      <c r="J6" s="242"/>
      <c r="K6" s="7"/>
      <c r="L6" s="243" t="s">
        <v>333</v>
      </c>
      <c r="M6" s="244"/>
      <c r="N6" s="244"/>
      <c r="O6" s="244"/>
      <c r="P6" s="244"/>
      <c r="Q6" s="244"/>
      <c r="R6" s="244"/>
      <c r="S6" s="244"/>
      <c r="T6" s="244"/>
      <c r="U6" s="244"/>
      <c r="V6" s="244"/>
      <c r="W6" s="244"/>
      <c r="X6" s="244"/>
      <c r="Y6" s="244"/>
      <c r="Z6" s="244"/>
      <c r="AA6" s="244"/>
      <c r="AB6" s="244"/>
      <c r="AC6" s="244"/>
      <c r="AD6" s="245"/>
    </row>
    <row r="7" spans="2:30" ht="25.5" customHeight="1" x14ac:dyDescent="0.2">
      <c r="B7" s="246" t="s">
        <v>334</v>
      </c>
      <c r="C7" s="247"/>
      <c r="D7" s="247"/>
      <c r="E7" s="247"/>
      <c r="F7" s="248"/>
      <c r="G7" s="249"/>
      <c r="H7" s="250"/>
      <c r="I7" s="250"/>
      <c r="J7" s="251"/>
      <c r="K7" s="7"/>
      <c r="L7" s="442" t="s">
        <v>3589</v>
      </c>
      <c r="M7" s="443"/>
      <c r="N7" s="443"/>
      <c r="O7" s="443"/>
      <c r="P7" s="443"/>
      <c r="Q7" s="443"/>
      <c r="R7" s="443"/>
      <c r="S7" s="443"/>
      <c r="T7" s="443"/>
      <c r="U7" s="443"/>
      <c r="V7" s="443"/>
      <c r="W7" s="443"/>
      <c r="X7" s="443"/>
      <c r="Y7" s="443"/>
      <c r="Z7" s="443"/>
      <c r="AA7" s="443"/>
      <c r="AB7" s="443"/>
      <c r="AC7" s="443"/>
      <c r="AD7" s="444"/>
    </row>
    <row r="8" spans="2:30" ht="25.5" customHeight="1" x14ac:dyDescent="0.2">
      <c r="B8" s="246" t="s">
        <v>335</v>
      </c>
      <c r="C8" s="247"/>
      <c r="D8" s="247"/>
      <c r="E8" s="247"/>
      <c r="F8" s="248"/>
      <c r="G8" s="252"/>
      <c r="H8" s="253"/>
      <c r="I8" s="253"/>
      <c r="J8" s="254"/>
      <c r="K8" s="7"/>
      <c r="L8" s="439"/>
      <c r="M8" s="440"/>
      <c r="N8" s="440"/>
      <c r="O8" s="440"/>
      <c r="P8" s="440"/>
      <c r="Q8" s="440"/>
      <c r="R8" s="440"/>
      <c r="S8" s="440"/>
      <c r="T8" s="440"/>
      <c r="U8" s="440"/>
      <c r="V8" s="440"/>
      <c r="W8" s="440"/>
      <c r="X8" s="440"/>
      <c r="Y8" s="440"/>
      <c r="Z8" s="440"/>
      <c r="AA8" s="440"/>
      <c r="AB8" s="440"/>
      <c r="AC8" s="440"/>
      <c r="AD8" s="441"/>
    </row>
    <row r="9" spans="2:30" ht="10.5" customHeight="1" x14ac:dyDescent="0.2">
      <c r="B9" s="255" t="s">
        <v>336</v>
      </c>
      <c r="C9" s="256"/>
      <c r="D9" s="256"/>
      <c r="E9" s="256"/>
      <c r="F9" s="257"/>
      <c r="G9" s="261"/>
      <c r="H9" s="262"/>
      <c r="I9" s="262"/>
      <c r="J9" s="263"/>
      <c r="K9" s="7"/>
      <c r="L9" s="439"/>
      <c r="M9" s="440"/>
      <c r="N9" s="440"/>
      <c r="O9" s="440"/>
      <c r="P9" s="440"/>
      <c r="Q9" s="440"/>
      <c r="R9" s="440"/>
      <c r="S9" s="440"/>
      <c r="T9" s="440"/>
      <c r="U9" s="440"/>
      <c r="V9" s="440"/>
      <c r="W9" s="440"/>
      <c r="X9" s="440"/>
      <c r="Y9" s="440"/>
      <c r="Z9" s="440"/>
      <c r="AA9" s="440"/>
      <c r="AB9" s="440"/>
      <c r="AC9" s="440"/>
      <c r="AD9" s="441"/>
    </row>
    <row r="10" spans="2:30" ht="15" customHeight="1" thickBot="1" x14ac:dyDescent="0.25">
      <c r="B10" s="258"/>
      <c r="C10" s="259"/>
      <c r="D10" s="259"/>
      <c r="E10" s="259"/>
      <c r="F10" s="260"/>
      <c r="G10" s="264"/>
      <c r="H10" s="265"/>
      <c r="I10" s="265"/>
      <c r="J10" s="266"/>
      <c r="K10" s="7"/>
      <c r="L10" s="406" t="s">
        <v>337</v>
      </c>
      <c r="M10" s="407"/>
      <c r="N10" s="407"/>
      <c r="O10" s="407"/>
      <c r="P10" s="407"/>
      <c r="Q10" s="407"/>
      <c r="R10" s="407"/>
      <c r="S10" s="407"/>
      <c r="T10" s="407"/>
      <c r="U10" s="407"/>
      <c r="V10" s="407"/>
      <c r="W10" s="407"/>
      <c r="X10" s="407"/>
      <c r="Y10" s="407"/>
      <c r="Z10" s="407"/>
      <c r="AA10" s="407"/>
      <c r="AB10" s="407"/>
      <c r="AC10" s="407"/>
      <c r="AD10" s="408"/>
    </row>
    <row r="11" spans="2:30" ht="17.25" customHeight="1" x14ac:dyDescent="0.2">
      <c r="B11" s="267" t="e">
        <f>メーカー加工場!B70</f>
        <v>#REF!</v>
      </c>
      <c r="C11" s="267"/>
      <c r="D11" s="267"/>
      <c r="E11" s="267"/>
      <c r="F11" s="267"/>
      <c r="G11" s="267"/>
      <c r="H11" s="267"/>
      <c r="I11" s="267"/>
      <c r="J11" s="267"/>
      <c r="K11" s="267"/>
      <c r="L11" s="267"/>
      <c r="M11" s="267"/>
      <c r="N11" s="267"/>
      <c r="O11" s="267"/>
      <c r="P11" s="267"/>
      <c r="Q11" s="267"/>
      <c r="R11" s="267"/>
      <c r="S11" s="267"/>
      <c r="T11" s="267"/>
      <c r="U11" s="267"/>
      <c r="V11" s="267"/>
      <c r="W11" s="267"/>
      <c r="X11" s="267"/>
      <c r="Y11" s="267"/>
      <c r="Z11" s="267"/>
      <c r="AA11" s="267"/>
      <c r="AB11" s="267"/>
      <c r="AC11" s="267"/>
      <c r="AD11" s="267"/>
    </row>
    <row r="12" spans="2:30" ht="3.75" customHeight="1" thickBot="1" x14ac:dyDescent="0.25">
      <c r="B12" s="12"/>
      <c r="C12" s="12"/>
      <c r="D12" s="12"/>
      <c r="E12" s="12"/>
      <c r="F12" s="12"/>
      <c r="G12" s="12"/>
      <c r="H12" s="12"/>
      <c r="I12" s="12"/>
      <c r="J12" s="12"/>
      <c r="K12" s="12"/>
      <c r="L12" s="12"/>
      <c r="M12" s="12"/>
      <c r="N12" s="12"/>
      <c r="O12" s="12"/>
      <c r="P12" s="12"/>
      <c r="Q12" s="12"/>
      <c r="R12" s="12"/>
      <c r="S12" s="12"/>
      <c r="T12" s="12"/>
      <c r="U12" s="12"/>
      <c r="V12" s="12"/>
      <c r="W12" s="12"/>
      <c r="X12" s="12"/>
      <c r="Y12" s="12"/>
      <c r="Z12" s="12"/>
      <c r="AA12" s="12"/>
      <c r="AB12" s="12"/>
      <c r="AC12" s="12"/>
      <c r="AD12" s="12"/>
    </row>
    <row r="13" spans="2:30" ht="17.25" customHeight="1" x14ac:dyDescent="0.2">
      <c r="B13" s="268" t="s">
        <v>338</v>
      </c>
      <c r="C13" s="269"/>
      <c r="D13" s="269"/>
      <c r="E13" s="269"/>
      <c r="F13" s="269"/>
      <c r="G13" s="270"/>
      <c r="H13" s="456" t="s">
        <v>339</v>
      </c>
      <c r="I13" s="457"/>
      <c r="J13" s="457"/>
      <c r="K13" s="457"/>
      <c r="L13" s="457"/>
      <c r="M13" s="457"/>
      <c r="N13" s="457"/>
      <c r="O13" s="457"/>
      <c r="P13" s="457"/>
      <c r="Q13" s="457"/>
      <c r="R13" s="457"/>
      <c r="S13" s="457"/>
      <c r="T13" s="457"/>
      <c r="U13" s="457"/>
      <c r="V13" s="457"/>
      <c r="W13" s="457"/>
      <c r="X13" s="457"/>
      <c r="Y13" s="457"/>
      <c r="Z13" s="457"/>
      <c r="AA13" s="457"/>
      <c r="AB13" s="457"/>
      <c r="AC13" s="457"/>
      <c r="AD13" s="458"/>
    </row>
    <row r="14" spans="2:30" ht="17.25" customHeight="1" x14ac:dyDescent="0.2">
      <c r="B14" s="271"/>
      <c r="C14" s="272"/>
      <c r="D14" s="272"/>
      <c r="E14" s="272"/>
      <c r="F14" s="272"/>
      <c r="G14" s="273"/>
      <c r="H14" s="459" t="s">
        <v>340</v>
      </c>
      <c r="I14" s="460"/>
      <c r="J14" s="460"/>
      <c r="K14" s="460"/>
      <c r="L14" s="460"/>
      <c r="M14" s="460"/>
      <c r="N14" s="460"/>
      <c r="O14" s="460"/>
      <c r="P14" s="460"/>
      <c r="Q14" s="460"/>
      <c r="R14" s="460"/>
      <c r="S14" s="460"/>
      <c r="T14" s="460"/>
      <c r="U14" s="460"/>
      <c r="V14" s="460"/>
      <c r="W14" s="460"/>
      <c r="X14" s="460"/>
      <c r="Y14" s="460"/>
      <c r="Z14" s="460"/>
      <c r="AA14" s="460"/>
      <c r="AB14" s="460"/>
      <c r="AC14" s="460"/>
      <c r="AD14" s="461"/>
    </row>
    <row r="15" spans="2:30" ht="15.75" customHeight="1" x14ac:dyDescent="0.2">
      <c r="B15" s="271"/>
      <c r="C15" s="272"/>
      <c r="D15" s="272"/>
      <c r="E15" s="272"/>
      <c r="F15" s="272"/>
      <c r="G15" s="273"/>
      <c r="H15" s="462" t="s">
        <v>341</v>
      </c>
      <c r="I15" s="463"/>
      <c r="J15" s="463"/>
      <c r="K15" s="463"/>
      <c r="L15" s="463"/>
      <c r="M15" s="463"/>
      <c r="N15" s="463"/>
      <c r="O15" s="463"/>
      <c r="P15" s="463"/>
      <c r="Q15" s="463"/>
      <c r="R15" s="463"/>
      <c r="S15" s="463"/>
      <c r="T15" s="463"/>
      <c r="U15" s="463"/>
      <c r="V15" s="463"/>
      <c r="W15" s="463"/>
      <c r="X15" s="463"/>
      <c r="Y15" s="463"/>
      <c r="Z15" s="463"/>
      <c r="AA15" s="463"/>
      <c r="AB15" s="463"/>
      <c r="AC15" s="463"/>
      <c r="AD15" s="464"/>
    </row>
    <row r="16" spans="2:30" ht="17.25" customHeight="1" x14ac:dyDescent="0.2">
      <c r="B16" s="271"/>
      <c r="C16" s="272"/>
      <c r="D16" s="272"/>
      <c r="E16" s="272"/>
      <c r="F16" s="272"/>
      <c r="G16" s="273"/>
      <c r="H16" s="468" t="s">
        <v>738</v>
      </c>
      <c r="I16" s="460"/>
      <c r="J16" s="460"/>
      <c r="K16" s="460"/>
      <c r="L16" s="460"/>
      <c r="M16" s="460"/>
      <c r="N16" s="469" t="e">
        <f>IF(C1=メーカー加工場!B8,メーカー加工場!K75,メーカー加工場!K74)</f>
        <v>#REF!</v>
      </c>
      <c r="O16" s="469"/>
      <c r="P16" s="469"/>
      <c r="Q16" s="469"/>
      <c r="R16" s="469"/>
      <c r="S16" s="469"/>
      <c r="T16" s="469"/>
      <c r="U16" s="469"/>
      <c r="V16" s="469"/>
      <c r="W16" s="469"/>
      <c r="X16" s="469"/>
      <c r="Y16" s="469"/>
      <c r="Z16" s="469"/>
      <c r="AA16" s="469"/>
      <c r="AB16" s="469"/>
      <c r="AC16" s="469"/>
      <c r="AD16" s="470"/>
    </row>
    <row r="17" spans="2:35" ht="112.5" customHeight="1" x14ac:dyDescent="0.2">
      <c r="B17" s="436"/>
      <c r="C17" s="437"/>
      <c r="D17" s="437"/>
      <c r="E17" s="437"/>
      <c r="F17" s="437"/>
      <c r="G17" s="438"/>
      <c r="H17" s="465"/>
      <c r="I17" s="466"/>
      <c r="J17" s="466"/>
      <c r="K17" s="466"/>
      <c r="L17" s="466"/>
      <c r="M17" s="466"/>
      <c r="N17" s="466"/>
      <c r="O17" s="466"/>
      <c r="P17" s="466"/>
      <c r="Q17" s="466"/>
      <c r="R17" s="466"/>
      <c r="S17" s="466"/>
      <c r="T17" s="466"/>
      <c r="U17" s="466"/>
      <c r="V17" s="466"/>
      <c r="W17" s="466"/>
      <c r="X17" s="466"/>
      <c r="Y17" s="466"/>
      <c r="Z17" s="466"/>
      <c r="AA17" s="466"/>
      <c r="AB17" s="466"/>
      <c r="AC17" s="466"/>
      <c r="AD17" s="467"/>
      <c r="AG17" s="447" t="s">
        <v>1829</v>
      </c>
      <c r="AH17" s="447"/>
      <c r="AI17" s="447"/>
    </row>
    <row r="18" spans="2:35" ht="17.25" customHeight="1" x14ac:dyDescent="0.2">
      <c r="B18" s="292" t="s">
        <v>342</v>
      </c>
      <c r="C18" s="293"/>
      <c r="D18" s="293"/>
      <c r="E18" s="293"/>
      <c r="F18" s="293"/>
      <c r="G18" s="293"/>
      <c r="H18" s="13"/>
      <c r="I18" s="473">
        <f ca="1">TODAY()+1</f>
        <v>45832</v>
      </c>
      <c r="J18" s="473"/>
      <c r="K18" s="473"/>
      <c r="L18" s="473"/>
      <c r="M18" s="473"/>
      <c r="N18" s="473"/>
      <c r="O18" s="473"/>
      <c r="P18" s="244" t="s">
        <v>343</v>
      </c>
      <c r="Q18" s="244"/>
      <c r="R18" s="244"/>
      <c r="S18" s="244"/>
      <c r="T18" s="475"/>
      <c r="U18" s="448" t="s">
        <v>344</v>
      </c>
      <c r="V18" s="449"/>
      <c r="W18" s="449"/>
      <c r="X18" s="449"/>
      <c r="Y18" s="452" t="s">
        <v>2975</v>
      </c>
      <c r="Z18" s="452"/>
      <c r="AA18" s="452"/>
      <c r="AB18" s="452"/>
      <c r="AC18" s="452"/>
      <c r="AD18" s="453"/>
    </row>
    <row r="19" spans="2:35" ht="17.25" customHeight="1" x14ac:dyDescent="0.2">
      <c r="B19" s="471"/>
      <c r="C19" s="472"/>
      <c r="D19" s="472"/>
      <c r="E19" s="472"/>
      <c r="F19" s="472"/>
      <c r="G19" s="472"/>
      <c r="H19" s="14"/>
      <c r="I19" s="474"/>
      <c r="J19" s="474"/>
      <c r="K19" s="474"/>
      <c r="L19" s="474"/>
      <c r="M19" s="474"/>
      <c r="N19" s="474"/>
      <c r="O19" s="474"/>
      <c r="P19" s="476" t="s">
        <v>345</v>
      </c>
      <c r="Q19" s="476"/>
      <c r="R19" s="476"/>
      <c r="S19" s="476"/>
      <c r="T19" s="477"/>
      <c r="U19" s="450"/>
      <c r="V19" s="451"/>
      <c r="W19" s="451"/>
      <c r="X19" s="451"/>
      <c r="Y19" s="454"/>
      <c r="Z19" s="454"/>
      <c r="AA19" s="454"/>
      <c r="AB19" s="454"/>
      <c r="AC19" s="454"/>
      <c r="AD19" s="455"/>
    </row>
    <row r="20" spans="2:35" ht="13.5" customHeight="1" x14ac:dyDescent="0.2">
      <c r="B20" s="295"/>
      <c r="C20" s="296"/>
      <c r="D20" s="296"/>
      <c r="E20" s="296"/>
      <c r="F20" s="296"/>
      <c r="G20" s="296"/>
      <c r="H20" s="310" t="s">
        <v>346</v>
      </c>
      <c r="I20" s="311"/>
      <c r="J20" s="311"/>
      <c r="K20" s="311"/>
      <c r="L20" s="311"/>
      <c r="M20" s="311"/>
      <c r="N20" s="311"/>
      <c r="O20" s="311"/>
      <c r="P20" s="311"/>
      <c r="Q20" s="311"/>
      <c r="R20" s="311"/>
      <c r="S20" s="311"/>
      <c r="T20" s="311"/>
      <c r="U20" s="311"/>
      <c r="V20" s="311"/>
      <c r="W20" s="311"/>
      <c r="X20" s="311"/>
      <c r="Y20" s="311"/>
      <c r="Z20" s="311"/>
      <c r="AA20" s="311"/>
      <c r="AB20" s="311"/>
      <c r="AC20" s="311"/>
      <c r="AD20" s="312"/>
    </row>
    <row r="21" spans="2:35" ht="34.5" customHeight="1" thickBot="1" x14ac:dyDescent="0.25">
      <c r="B21" s="313" t="s">
        <v>347</v>
      </c>
      <c r="C21" s="314"/>
      <c r="D21" s="314"/>
      <c r="E21" s="314"/>
      <c r="F21" s="314"/>
      <c r="G21" s="315"/>
      <c r="H21" s="481" t="str">
        <f>旧貼付用!G6</f>
        <v>ABC</v>
      </c>
      <c r="I21" s="482"/>
      <c r="J21" s="482"/>
      <c r="K21" s="482"/>
      <c r="L21" s="482"/>
      <c r="M21" s="482"/>
      <c r="N21" s="482"/>
      <c r="O21" s="445" t="s">
        <v>348</v>
      </c>
      <c r="P21" s="445"/>
      <c r="Q21" s="445"/>
      <c r="R21" s="445"/>
      <c r="S21" s="445"/>
      <c r="T21" s="446" t="s">
        <v>349</v>
      </c>
      <c r="U21" s="446"/>
      <c r="V21" s="446"/>
      <c r="W21" s="321" t="str">
        <f>メーカー加工場!B71</f>
        <v>●●</v>
      </c>
      <c r="X21" s="321"/>
      <c r="Y21" s="321"/>
      <c r="Z21" s="321"/>
      <c r="AA21" s="321"/>
      <c r="AB21" s="479" t="s">
        <v>350</v>
      </c>
      <c r="AC21" s="479"/>
      <c r="AD21" s="480"/>
    </row>
    <row r="22" spans="2:35" ht="4.5" customHeight="1" thickBot="1" x14ac:dyDescent="0.25">
      <c r="B22" s="15"/>
      <c r="C22" s="15"/>
      <c r="D22" s="15"/>
      <c r="E22" s="15"/>
      <c r="F22" s="15"/>
      <c r="G22" s="15"/>
      <c r="H22" s="15"/>
      <c r="I22" s="15"/>
      <c r="J22" s="15"/>
      <c r="K22" s="15"/>
      <c r="L22" s="15"/>
      <c r="M22" s="15"/>
      <c r="N22" s="15"/>
      <c r="O22" s="15"/>
      <c r="P22" s="15"/>
      <c r="Q22" s="15"/>
      <c r="R22" s="15"/>
      <c r="S22" s="15"/>
      <c r="T22" s="15"/>
      <c r="U22" s="15"/>
      <c r="V22" s="15"/>
      <c r="W22" s="15"/>
      <c r="X22" s="15"/>
      <c r="Y22" s="15"/>
      <c r="Z22" s="15"/>
      <c r="AA22" s="15"/>
      <c r="AB22" s="15"/>
      <c r="AC22" s="15"/>
      <c r="AD22" s="15"/>
    </row>
    <row r="23" spans="2:35" ht="24.75" customHeight="1" thickBot="1" x14ac:dyDescent="0.25">
      <c r="B23" s="324" t="s">
        <v>351</v>
      </c>
      <c r="C23" s="325"/>
      <c r="D23" s="325"/>
      <c r="E23" s="325"/>
      <c r="F23" s="325"/>
      <c r="G23" s="325"/>
      <c r="H23" s="325" t="s">
        <v>357</v>
      </c>
      <c r="I23" s="325"/>
      <c r="J23" s="325"/>
      <c r="K23" s="325"/>
      <c r="L23" s="325"/>
      <c r="M23" s="325"/>
      <c r="N23" s="325"/>
      <c r="O23" s="325"/>
      <c r="P23" s="325"/>
      <c r="Q23" s="325"/>
      <c r="R23" s="325"/>
      <c r="S23" s="325" t="s">
        <v>356</v>
      </c>
      <c r="T23" s="325"/>
      <c r="U23" s="325"/>
      <c r="V23" s="325"/>
      <c r="W23" s="325"/>
      <c r="X23" s="325"/>
      <c r="Y23" s="22" t="s">
        <v>355</v>
      </c>
      <c r="Z23" s="17"/>
      <c r="AA23" s="339">
        <f>SUM(Y24:Y38)</f>
        <v>20</v>
      </c>
      <c r="AB23" s="340"/>
      <c r="AC23" s="340"/>
      <c r="AD23" s="341"/>
    </row>
    <row r="24" spans="2:35" ht="19.5" customHeight="1" x14ac:dyDescent="0.2">
      <c r="B24" s="328">
        <v>1</v>
      </c>
      <c r="C24" s="329"/>
      <c r="D24" s="330" t="str">
        <f>IF(メーカー加工場!$B$77=2,"",メーカー加工場!D112)</f>
        <v>PMZ-1001-1</v>
      </c>
      <c r="E24" s="330"/>
      <c r="F24" s="330"/>
      <c r="G24" s="330"/>
      <c r="H24" s="333" t="str">
        <f>IF(メーカー加工場!$B$77=2,"",メーカー加工場!H112)</f>
        <v>ドライショートスリーブTシャツ(左or右胸ロゴ付き)</v>
      </c>
      <c r="I24" s="333"/>
      <c r="J24" s="333"/>
      <c r="K24" s="333"/>
      <c r="L24" s="333"/>
      <c r="M24" s="333"/>
      <c r="N24" s="333"/>
      <c r="O24" s="333"/>
      <c r="P24" s="333"/>
      <c r="Q24" s="333"/>
      <c r="R24" s="333"/>
      <c r="S24" s="333" t="str">
        <f>IF(メーカー加工場!$B$77=2,"",メーカー加工場!T112)</f>
        <v>右胸_本体BLK×ロゴNVY</v>
      </c>
      <c r="T24" s="333"/>
      <c r="U24" s="333"/>
      <c r="V24" s="478"/>
      <c r="W24" s="331" t="str">
        <f>IF(メーカー加工場!Y112=0,"",IF(メーカー加工場!$B$77=2,"",メーカー加工場!Y112))</f>
        <v>M</v>
      </c>
      <c r="X24" s="332"/>
      <c r="Y24" s="19">
        <f>IF(メーカー加工場!$B$77=2,"",メーカー加工場!AA112)</f>
        <v>1</v>
      </c>
      <c r="Z24" s="17"/>
      <c r="AA24" s="18"/>
      <c r="AB24" s="18"/>
      <c r="AC24" s="18"/>
      <c r="AD24" s="18"/>
    </row>
    <row r="25" spans="2:35" ht="19.5" customHeight="1" x14ac:dyDescent="0.15">
      <c r="B25" s="349">
        <v>2</v>
      </c>
      <c r="C25" s="350"/>
      <c r="D25" s="351" t="str">
        <f>IF(メーカー加工場!$B$77=2,"",メーカー加工場!D113)</f>
        <v>PMZ-1001-2</v>
      </c>
      <c r="E25" s="352"/>
      <c r="F25" s="352"/>
      <c r="G25" s="353"/>
      <c r="H25" s="342" t="str">
        <f>IF(メーカー加工場!$B$77=2,"",メーカー加工場!H113)</f>
        <v>ドライショートスリーブTシャツ(左or右袖ロゴ付き)</v>
      </c>
      <c r="I25" s="343"/>
      <c r="J25" s="343"/>
      <c r="K25" s="343"/>
      <c r="L25" s="343"/>
      <c r="M25" s="343"/>
      <c r="N25" s="343"/>
      <c r="O25" s="343"/>
      <c r="P25" s="343"/>
      <c r="Q25" s="343"/>
      <c r="R25" s="354"/>
      <c r="S25" s="342" t="str">
        <f>IF(メーカー加工場!$B$77=2,"",メーカー加工場!T113)</f>
        <v>右袖_本体WHT×ロゴHtPNK</v>
      </c>
      <c r="T25" s="343"/>
      <c r="U25" s="343"/>
      <c r="V25" s="344"/>
      <c r="W25" s="345" t="str">
        <f>IF(メーカー加工場!Y113=0,"",IF(メーカー加工場!$B$77=2,"",メーカー加工場!Y113))</f>
        <v>M</v>
      </c>
      <c r="X25" s="346"/>
      <c r="Y25" s="20">
        <f>IF(メーカー加工場!$B$77=2,"",メーカー加工場!AA113)</f>
        <v>2</v>
      </c>
      <c r="Z25" s="15"/>
      <c r="AA25" s="15"/>
      <c r="AB25" s="15"/>
      <c r="AC25" s="15"/>
      <c r="AD25" s="16"/>
    </row>
    <row r="26" spans="2:35" ht="19.5" customHeight="1" x14ac:dyDescent="0.15">
      <c r="B26" s="349">
        <v>3</v>
      </c>
      <c r="C26" s="350"/>
      <c r="D26" s="351" t="str">
        <f>IF(メーカー加工場!$B$77=2,"",メーカー加工場!D114)</f>
        <v>PMZ-1001-3</v>
      </c>
      <c r="E26" s="352"/>
      <c r="F26" s="352"/>
      <c r="G26" s="353"/>
      <c r="H26" s="342" t="str">
        <f>IF(メーカー加工場!$B$77=2,"",メーカー加工場!H114)</f>
        <v>ドライショートスリーブTシャツ(背中襟下ロゴ付き)</v>
      </c>
      <c r="I26" s="343"/>
      <c r="J26" s="343"/>
      <c r="K26" s="343"/>
      <c r="L26" s="343"/>
      <c r="M26" s="343"/>
      <c r="N26" s="343"/>
      <c r="O26" s="343"/>
      <c r="P26" s="343"/>
      <c r="Q26" s="343"/>
      <c r="R26" s="354"/>
      <c r="S26" s="342" t="str">
        <f>IF(メーカー加工場!$B$77=2,"",メーカー加工場!T114)</f>
        <v>背中襟下_本体NVY×ロゴLmGRN</v>
      </c>
      <c r="T26" s="343"/>
      <c r="U26" s="343"/>
      <c r="V26" s="344"/>
      <c r="W26" s="345">
        <f>IF(メーカー加工場!Y114=0,"",IF(メーカー加工場!$B$77=2,"",メーカー加工場!Y114))</f>
        <v>150</v>
      </c>
      <c r="X26" s="346"/>
      <c r="Y26" s="20">
        <f>IF(メーカー加工場!$B$77=2,"",メーカー加工場!AA114)</f>
        <v>3</v>
      </c>
      <c r="Z26" s="15"/>
      <c r="AA26" s="15"/>
      <c r="AB26" s="15"/>
      <c r="AC26" s="15"/>
      <c r="AD26" s="16"/>
    </row>
    <row r="27" spans="2:35" ht="19.5" customHeight="1" x14ac:dyDescent="0.15">
      <c r="B27" s="349">
        <v>4</v>
      </c>
      <c r="C27" s="350"/>
      <c r="D27" s="351" t="str">
        <f>IF(メーカー加工場!$B$77=2,"",メーカー加工場!D115)</f>
        <v>PMZ-2001-1</v>
      </c>
      <c r="E27" s="352"/>
      <c r="F27" s="352"/>
      <c r="G27" s="353"/>
      <c r="H27" s="342" t="str">
        <f>IF(メーカー加工場!$B$77=2,"",メーカー加工場!H115)</f>
        <v>ドライロングスリーブTシャツ(左or右胸ロゴ付き)</v>
      </c>
      <c r="I27" s="343"/>
      <c r="J27" s="343"/>
      <c r="K27" s="343"/>
      <c r="L27" s="343"/>
      <c r="M27" s="343"/>
      <c r="N27" s="343"/>
      <c r="O27" s="343"/>
      <c r="P27" s="343"/>
      <c r="Q27" s="343"/>
      <c r="R27" s="354"/>
      <c r="S27" s="342" t="str">
        <f>IF(メーカー加工場!$B$77=2,"",メーカー加工場!T115)</f>
        <v>左胸_本体WHT×ロゴBLU</v>
      </c>
      <c r="T27" s="343"/>
      <c r="U27" s="343"/>
      <c r="V27" s="344"/>
      <c r="W27" s="345" t="str">
        <f>IF(メーカー加工場!Y115=0,"",IF(メーカー加工場!$B$77=2,"",メーカー加工場!Y115))</f>
        <v>L</v>
      </c>
      <c r="X27" s="346"/>
      <c r="Y27" s="20">
        <f>IF(メーカー加工場!$B$77=2,"",メーカー加工場!AA115)</f>
        <v>1</v>
      </c>
      <c r="Z27" s="15"/>
      <c r="AA27" s="15"/>
      <c r="AB27" s="15"/>
      <c r="AC27" s="15"/>
      <c r="AD27" s="16"/>
    </row>
    <row r="28" spans="2:35" ht="19.5" customHeight="1" x14ac:dyDescent="0.15">
      <c r="B28" s="349">
        <v>5</v>
      </c>
      <c r="C28" s="350"/>
      <c r="D28" s="351" t="str">
        <f>IF(メーカー加工場!$B$77=2,"",メーカー加工場!D116)</f>
        <v>PMZ-2001-2</v>
      </c>
      <c r="E28" s="352"/>
      <c r="F28" s="352"/>
      <c r="G28" s="353"/>
      <c r="H28" s="342" t="str">
        <f>IF(メーカー加工場!$B$77=2,"★別紙参照★",メーカー加工場!H116)</f>
        <v>ドライロングスリーブTシャツ(左or右袖ロゴ付き)</v>
      </c>
      <c r="I28" s="343"/>
      <c r="J28" s="343"/>
      <c r="K28" s="343"/>
      <c r="L28" s="343"/>
      <c r="M28" s="343"/>
      <c r="N28" s="343"/>
      <c r="O28" s="343"/>
      <c r="P28" s="343"/>
      <c r="Q28" s="343"/>
      <c r="R28" s="354"/>
      <c r="S28" s="342" t="str">
        <f>IF(メーカー加工場!$B$77=2,"",メーカー加工場!T116)</f>
        <v>右袖_本体BLK×ロゴRED</v>
      </c>
      <c r="T28" s="343"/>
      <c r="U28" s="343"/>
      <c r="V28" s="344"/>
      <c r="W28" s="345" t="str">
        <f>IF(メーカー加工場!Y116=0,"",IF(メーカー加工場!$B$77=2,"",メーカー加工場!Y116))</f>
        <v>3XL</v>
      </c>
      <c r="X28" s="346"/>
      <c r="Y28" s="20">
        <f>IF(メーカー加工場!$B$77=2,"",メーカー加工場!AA116)</f>
        <v>2</v>
      </c>
      <c r="Z28" s="15"/>
      <c r="AA28" s="15"/>
      <c r="AB28" s="15"/>
      <c r="AC28" s="15"/>
      <c r="AD28" s="16"/>
    </row>
    <row r="29" spans="2:35" ht="19.5" customHeight="1" x14ac:dyDescent="0.15">
      <c r="B29" s="349">
        <v>6</v>
      </c>
      <c r="C29" s="350"/>
      <c r="D29" s="351" t="str">
        <f>IF(メーカー加工場!$B$77=2,"",メーカー加工場!D117)</f>
        <v>PMZ-2001-3</v>
      </c>
      <c r="E29" s="352"/>
      <c r="F29" s="352"/>
      <c r="G29" s="353"/>
      <c r="H29" s="342" t="str">
        <f>IF(メーカー加工場!$B$77=2,"",メーカー加工場!H117)</f>
        <v>ドライロングスリーブTシャツ(背中襟下ロゴ付き)</v>
      </c>
      <c r="I29" s="343"/>
      <c r="J29" s="343"/>
      <c r="K29" s="343"/>
      <c r="L29" s="343"/>
      <c r="M29" s="343"/>
      <c r="N29" s="343"/>
      <c r="O29" s="343"/>
      <c r="P29" s="343"/>
      <c r="Q29" s="343"/>
      <c r="R29" s="354"/>
      <c r="S29" s="342" t="str">
        <f>IF(メーカー加工場!$B$77=2,"",メーカー加工場!T117)</f>
        <v>背中襟下_本体BLK×ロゴWHT</v>
      </c>
      <c r="T29" s="343"/>
      <c r="U29" s="343"/>
      <c r="V29" s="344"/>
      <c r="W29" s="345" t="str">
        <f>IF(メーカー加工場!Y117=0,"",IF(メーカー加工場!$B$77=2,"",メーカー加工場!Y117))</f>
        <v>M</v>
      </c>
      <c r="X29" s="346"/>
      <c r="Y29" s="20">
        <f>IF(メーカー加工場!$B$77=2,"",メーカー加工場!AA117)</f>
        <v>5</v>
      </c>
      <c r="Z29" s="15"/>
      <c r="AA29" s="15"/>
      <c r="AB29" s="15"/>
      <c r="AC29" s="15"/>
      <c r="AD29" s="16"/>
    </row>
    <row r="30" spans="2:35" ht="19.5" customHeight="1" x14ac:dyDescent="0.15">
      <c r="B30" s="349">
        <v>7</v>
      </c>
      <c r="C30" s="350"/>
      <c r="D30" s="351" t="str">
        <f>IF(メーカー加工場!$B$77=2,"",メーカー加工場!D118)</f>
        <v>PMZ-3001-1</v>
      </c>
      <c r="E30" s="352"/>
      <c r="F30" s="352"/>
      <c r="G30" s="353"/>
      <c r="H30" s="342" t="str">
        <f>IF(メーカー加工場!$B$77=2,"",メーカー加工場!H118)</f>
        <v>ボタンダウンポロシャツ(左or右胸ロゴ付き)</v>
      </c>
      <c r="I30" s="343"/>
      <c r="J30" s="343"/>
      <c r="K30" s="343"/>
      <c r="L30" s="343"/>
      <c r="M30" s="343"/>
      <c r="N30" s="343"/>
      <c r="O30" s="343"/>
      <c r="P30" s="343"/>
      <c r="Q30" s="343"/>
      <c r="R30" s="354"/>
      <c r="S30" s="342" t="str">
        <f>IF(メーカー加工場!$B$77=2,"",メーカー加工場!T118)</f>
        <v>左胸_本体YEL×ロゴYEL</v>
      </c>
      <c r="T30" s="343"/>
      <c r="U30" s="343"/>
      <c r="V30" s="344"/>
      <c r="W30" s="345" t="str">
        <f>IF(メーカー加工場!Y118=0,"",IF(メーカー加工場!$B$77=2,"",メーカー加工場!Y118))</f>
        <v>XL</v>
      </c>
      <c r="X30" s="346"/>
      <c r="Y30" s="20">
        <f>IF(メーカー加工場!$B$77=2,"",メーカー加工場!AA118)</f>
        <v>1</v>
      </c>
      <c r="Z30" s="15"/>
      <c r="AA30" s="15"/>
      <c r="AB30" s="15"/>
      <c r="AC30" s="15"/>
      <c r="AD30" s="16"/>
    </row>
    <row r="31" spans="2:35" ht="19.5" customHeight="1" x14ac:dyDescent="0.15">
      <c r="B31" s="349">
        <v>8</v>
      </c>
      <c r="C31" s="350"/>
      <c r="D31" s="351" t="str">
        <f>IF(メーカー加工場!$B$77=2,"",メーカー加工場!D119)</f>
        <v>PMZ-3001-2</v>
      </c>
      <c r="E31" s="352"/>
      <c r="F31" s="352"/>
      <c r="G31" s="353"/>
      <c r="H31" s="342" t="str">
        <f>IF(メーカー加工場!$B$77=2,"",メーカー加工場!H119)</f>
        <v>ボタンダウンポロシャツ(左or右袖ロゴ付き)</v>
      </c>
      <c r="I31" s="343"/>
      <c r="J31" s="343"/>
      <c r="K31" s="343"/>
      <c r="L31" s="343"/>
      <c r="M31" s="343"/>
      <c r="N31" s="343"/>
      <c r="O31" s="343"/>
      <c r="P31" s="343"/>
      <c r="Q31" s="343"/>
      <c r="R31" s="354"/>
      <c r="S31" s="342" t="str">
        <f>IF(メーカー加工場!$B$77=2,"",メーカー加工場!T119)</f>
        <v>右袖_本体BLK×ロゴORG</v>
      </c>
      <c r="T31" s="343"/>
      <c r="U31" s="343"/>
      <c r="V31" s="344"/>
      <c r="W31" s="345" t="str">
        <f>IF(メーカー加工場!Y119=0,"",IF(メーカー加工場!$B$77=2,"",メーカー加工場!Y119))</f>
        <v>S</v>
      </c>
      <c r="X31" s="346"/>
      <c r="Y31" s="20">
        <f>IF(メーカー加工場!$B$77=2,"",メーカー加工場!AA119)</f>
        <v>2</v>
      </c>
      <c r="Z31" s="15"/>
      <c r="AA31" s="15"/>
      <c r="AB31" s="15"/>
      <c r="AC31" s="15"/>
      <c r="AD31" s="16"/>
    </row>
    <row r="32" spans="2:35" ht="19.5" customHeight="1" x14ac:dyDescent="0.15">
      <c r="B32" s="349">
        <v>9</v>
      </c>
      <c r="C32" s="350"/>
      <c r="D32" s="351" t="str">
        <f>IF(メーカー加工場!$B$77=2,"",メーカー加工場!D120)</f>
        <v>PMZ-3001-3</v>
      </c>
      <c r="E32" s="352"/>
      <c r="F32" s="352"/>
      <c r="G32" s="353"/>
      <c r="H32" s="342" t="str">
        <f>IF(メーカー加工場!$B$77=2,"",メーカー加工場!H120)</f>
        <v>ボタンダウンポロシャツ(背中襟下ロゴ付き)</v>
      </c>
      <c r="I32" s="343"/>
      <c r="J32" s="343"/>
      <c r="K32" s="343"/>
      <c r="L32" s="343"/>
      <c r="M32" s="343"/>
      <c r="N32" s="343"/>
      <c r="O32" s="343"/>
      <c r="P32" s="343"/>
      <c r="Q32" s="343"/>
      <c r="R32" s="354"/>
      <c r="S32" s="342" t="str">
        <f>IF(メーカー加工場!$B$77=2,"",メーカー加工場!T120)</f>
        <v>背中襟下_本体NVY×ロゴHtPNK</v>
      </c>
      <c r="T32" s="343"/>
      <c r="U32" s="343"/>
      <c r="V32" s="344"/>
      <c r="W32" s="345" t="str">
        <f>IF(メーカー加工場!Y120=0,"",IF(メーカー加工場!$B$77=2,"",メーカー加工場!Y120))</f>
        <v>XS</v>
      </c>
      <c r="X32" s="346"/>
      <c r="Y32" s="20">
        <f>IF(メーカー加工場!$B$77=2,"",メーカー加工場!AA120)</f>
        <v>3</v>
      </c>
      <c r="Z32" s="15"/>
      <c r="AA32" s="95"/>
      <c r="AB32" s="15"/>
      <c r="AC32" s="15"/>
      <c r="AD32" s="16"/>
    </row>
    <row r="33" spans="2:30" ht="19.5" customHeight="1" x14ac:dyDescent="0.15">
      <c r="B33" s="349">
        <v>10</v>
      </c>
      <c r="C33" s="350"/>
      <c r="D33" s="351" t="str">
        <f>IF(メーカー加工場!$B$77=2,"",メーカー加工場!D121)</f>
        <v/>
      </c>
      <c r="E33" s="352"/>
      <c r="F33" s="352"/>
      <c r="G33" s="353"/>
      <c r="H33" s="342" t="str">
        <f>IF(メーカー加工場!$B$77=2,"",メーカー加工場!H121)</f>
        <v/>
      </c>
      <c r="I33" s="343"/>
      <c r="J33" s="343"/>
      <c r="K33" s="343"/>
      <c r="L33" s="343"/>
      <c r="M33" s="343"/>
      <c r="N33" s="343"/>
      <c r="O33" s="343"/>
      <c r="P33" s="343"/>
      <c r="Q33" s="343"/>
      <c r="R33" s="354"/>
      <c r="S33" s="342" t="str">
        <f>IF(メーカー加工場!$B$77=2,"",メーカー加工場!T121)</f>
        <v/>
      </c>
      <c r="T33" s="343"/>
      <c r="U33" s="343"/>
      <c r="V33" s="344"/>
      <c r="W33" s="345" t="str">
        <f>IF(メーカー加工場!Y121=0,"",IF(メーカー加工場!$B$77=2,"",メーカー加工場!Y121))</f>
        <v/>
      </c>
      <c r="X33" s="346"/>
      <c r="Y33" s="20" t="str">
        <f>IF(メーカー加工場!$B$77=2,"",メーカー加工場!AA121)</f>
        <v/>
      </c>
      <c r="Z33" s="15"/>
      <c r="AA33" s="15"/>
      <c r="AB33" s="15"/>
      <c r="AC33" s="15"/>
      <c r="AD33" s="16"/>
    </row>
    <row r="34" spans="2:30" ht="19.5" customHeight="1" x14ac:dyDescent="0.15">
      <c r="B34" s="349">
        <v>11</v>
      </c>
      <c r="C34" s="350"/>
      <c r="D34" s="351" t="str">
        <f>IF(メーカー加工場!$B$77=2,"",メーカー加工場!D122)</f>
        <v/>
      </c>
      <c r="E34" s="352"/>
      <c r="F34" s="352"/>
      <c r="G34" s="353"/>
      <c r="H34" s="342" t="str">
        <f>IF(メーカー加工場!$B$77=2,"",メーカー加工場!H122)</f>
        <v/>
      </c>
      <c r="I34" s="343"/>
      <c r="J34" s="343"/>
      <c r="K34" s="343"/>
      <c r="L34" s="343"/>
      <c r="M34" s="343"/>
      <c r="N34" s="343"/>
      <c r="O34" s="343"/>
      <c r="P34" s="343"/>
      <c r="Q34" s="343"/>
      <c r="R34" s="354"/>
      <c r="S34" s="342" t="str">
        <f>IF(メーカー加工場!$B$77=2,"",メーカー加工場!T122)</f>
        <v/>
      </c>
      <c r="T34" s="343"/>
      <c r="U34" s="343"/>
      <c r="V34" s="344"/>
      <c r="W34" s="345" t="str">
        <f>IF(メーカー加工場!Y122=0,"",IF(メーカー加工場!$B$77=2,"",メーカー加工場!Y122))</f>
        <v/>
      </c>
      <c r="X34" s="346"/>
      <c r="Y34" s="20" t="str">
        <f>IF(メーカー加工場!$B$77=2,"",メーカー加工場!AA122)</f>
        <v/>
      </c>
      <c r="Z34" s="15"/>
      <c r="AA34" s="15"/>
      <c r="AB34" s="15"/>
      <c r="AC34" s="15"/>
      <c r="AD34" s="16"/>
    </row>
    <row r="35" spans="2:30" ht="19.5" customHeight="1" x14ac:dyDescent="0.15">
      <c r="B35" s="349">
        <v>12</v>
      </c>
      <c r="C35" s="350"/>
      <c r="D35" s="351" t="str">
        <f>IF(メーカー加工場!$B$77=2,"",メーカー加工場!D123)</f>
        <v/>
      </c>
      <c r="E35" s="352"/>
      <c r="F35" s="352"/>
      <c r="G35" s="353"/>
      <c r="H35" s="342" t="str">
        <f>IF(メーカー加工場!$B$77=2,"",メーカー加工場!H123)</f>
        <v/>
      </c>
      <c r="I35" s="343"/>
      <c r="J35" s="343"/>
      <c r="K35" s="343"/>
      <c r="L35" s="343"/>
      <c r="M35" s="343"/>
      <c r="N35" s="343"/>
      <c r="O35" s="343"/>
      <c r="P35" s="343"/>
      <c r="Q35" s="343"/>
      <c r="R35" s="354"/>
      <c r="S35" s="342" t="str">
        <f>IF(メーカー加工場!$B$77=2,"",メーカー加工場!T123)</f>
        <v/>
      </c>
      <c r="T35" s="343"/>
      <c r="U35" s="343"/>
      <c r="V35" s="344"/>
      <c r="W35" s="345" t="str">
        <f>IF(メーカー加工場!Y123=0,"",IF(メーカー加工場!$B$77=2,"",メーカー加工場!Y123))</f>
        <v/>
      </c>
      <c r="X35" s="346"/>
      <c r="Y35" s="20" t="str">
        <f>IF(メーカー加工場!$B$77=2,"",メーカー加工場!AA123)</f>
        <v/>
      </c>
      <c r="Z35" s="15"/>
      <c r="AA35" s="15"/>
      <c r="AB35" s="15"/>
      <c r="AC35" s="15"/>
      <c r="AD35" s="16"/>
    </row>
    <row r="36" spans="2:30" ht="19.5" customHeight="1" x14ac:dyDescent="0.15">
      <c r="B36" s="349">
        <v>13</v>
      </c>
      <c r="C36" s="350"/>
      <c r="D36" s="351" t="str">
        <f>IF(メーカー加工場!$B$77=2,"",メーカー加工場!D124)</f>
        <v/>
      </c>
      <c r="E36" s="352"/>
      <c r="F36" s="352"/>
      <c r="G36" s="353"/>
      <c r="H36" s="342" t="str">
        <f>IF(メーカー加工場!$B$77=2,"",メーカー加工場!H124)</f>
        <v/>
      </c>
      <c r="I36" s="343"/>
      <c r="J36" s="343"/>
      <c r="K36" s="343"/>
      <c r="L36" s="343"/>
      <c r="M36" s="343"/>
      <c r="N36" s="343"/>
      <c r="O36" s="343"/>
      <c r="P36" s="343"/>
      <c r="Q36" s="343"/>
      <c r="R36" s="354"/>
      <c r="S36" s="342" t="str">
        <f>IF(メーカー加工場!$B$77=2,"",メーカー加工場!T124)</f>
        <v/>
      </c>
      <c r="T36" s="343"/>
      <c r="U36" s="343"/>
      <c r="V36" s="344"/>
      <c r="W36" s="345" t="str">
        <f>IF(メーカー加工場!Y124=0,"",IF(メーカー加工場!$B$77=2,"",メーカー加工場!Y124))</f>
        <v/>
      </c>
      <c r="X36" s="346"/>
      <c r="Y36" s="20" t="str">
        <f>IF(メーカー加工場!$B$77=2,"",メーカー加工場!AA124)</f>
        <v/>
      </c>
      <c r="Z36" s="15"/>
      <c r="AA36" s="95"/>
      <c r="AB36" s="15"/>
      <c r="AC36" s="15"/>
      <c r="AD36" s="16"/>
    </row>
    <row r="37" spans="2:30" ht="19.5" customHeight="1" x14ac:dyDescent="0.15">
      <c r="B37" s="349">
        <v>14</v>
      </c>
      <c r="C37" s="350"/>
      <c r="D37" s="351" t="str">
        <f>IF(メーカー加工場!$B$77=2,"",メーカー加工場!D125)</f>
        <v/>
      </c>
      <c r="E37" s="352"/>
      <c r="F37" s="352"/>
      <c r="G37" s="353"/>
      <c r="H37" s="342" t="str">
        <f>IF(メーカー加工場!$B$77=2,"",メーカー加工場!H125)</f>
        <v/>
      </c>
      <c r="I37" s="343"/>
      <c r="J37" s="343"/>
      <c r="K37" s="343"/>
      <c r="L37" s="343"/>
      <c r="M37" s="343"/>
      <c r="N37" s="343"/>
      <c r="O37" s="343"/>
      <c r="P37" s="343"/>
      <c r="Q37" s="343"/>
      <c r="R37" s="354"/>
      <c r="S37" s="342" t="str">
        <f>IF(メーカー加工場!$B$77=2,"",メーカー加工場!T125)</f>
        <v/>
      </c>
      <c r="T37" s="343"/>
      <c r="U37" s="343"/>
      <c r="V37" s="344"/>
      <c r="W37" s="345" t="str">
        <f>IF(メーカー加工場!Y125=0,"",IF(メーカー加工場!$B$77=2,"",メーカー加工場!Y125))</f>
        <v/>
      </c>
      <c r="X37" s="346"/>
      <c r="Y37" s="20" t="str">
        <f>IF(メーカー加工場!$B$77=2,"",メーカー加工場!AA125)</f>
        <v/>
      </c>
      <c r="Z37" s="15"/>
      <c r="AA37" s="15"/>
      <c r="AB37" s="15"/>
      <c r="AC37" s="15"/>
      <c r="AD37" s="16"/>
    </row>
    <row r="38" spans="2:30" ht="19.5" customHeight="1" thickBot="1" x14ac:dyDescent="0.2">
      <c r="B38" s="492">
        <v>15</v>
      </c>
      <c r="C38" s="493"/>
      <c r="D38" s="372" t="str">
        <f>IF(メーカー加工場!$B$77=2,"",メーカー加工場!D126)</f>
        <v/>
      </c>
      <c r="E38" s="373"/>
      <c r="F38" s="373"/>
      <c r="G38" s="374"/>
      <c r="H38" s="375" t="str">
        <f>IF(メーカー加工場!$B$77=2,"",メーカー加工場!H126)</f>
        <v/>
      </c>
      <c r="I38" s="376"/>
      <c r="J38" s="376"/>
      <c r="K38" s="376"/>
      <c r="L38" s="376"/>
      <c r="M38" s="376"/>
      <c r="N38" s="376"/>
      <c r="O38" s="376"/>
      <c r="P38" s="376"/>
      <c r="Q38" s="376"/>
      <c r="R38" s="377"/>
      <c r="S38" s="375" t="str">
        <f>IF(メーカー加工場!$B$77=2,"",メーカー加工場!T126)</f>
        <v/>
      </c>
      <c r="T38" s="376"/>
      <c r="U38" s="376"/>
      <c r="V38" s="380"/>
      <c r="W38" s="381" t="str">
        <f>IF(メーカー加工場!Y126=0,"",IF(メーカー加工場!$B$77=2,"",メーカー加工場!Y126))</f>
        <v/>
      </c>
      <c r="X38" s="382"/>
      <c r="Y38" s="21" t="str">
        <f>IF(メーカー加工場!$B$77=2,"",メーカー加工場!AA126)</f>
        <v/>
      </c>
      <c r="Z38" s="15"/>
      <c r="AA38" s="15"/>
      <c r="AB38" s="15"/>
      <c r="AC38" s="15"/>
      <c r="AD38" s="16"/>
    </row>
    <row r="39" spans="2:30" ht="4.5" customHeight="1" thickBot="1" x14ac:dyDescent="0.25">
      <c r="B39" s="15"/>
      <c r="C39" s="15"/>
      <c r="D39" s="15"/>
      <c r="E39" s="15"/>
      <c r="F39" s="15"/>
      <c r="G39" s="15"/>
      <c r="H39" s="15"/>
      <c r="I39" s="15"/>
      <c r="J39" s="15"/>
      <c r="K39" s="15"/>
      <c r="L39" s="15"/>
      <c r="M39" s="15"/>
      <c r="N39" s="15"/>
      <c r="O39" s="15"/>
      <c r="P39" s="15"/>
      <c r="Q39" s="15"/>
      <c r="R39" s="15"/>
      <c r="S39" s="15"/>
      <c r="T39" s="15"/>
      <c r="U39" s="15"/>
      <c r="V39" s="15"/>
      <c r="W39" s="15"/>
      <c r="X39" s="15"/>
      <c r="Y39" s="15"/>
      <c r="Z39" s="15"/>
      <c r="AA39" s="15"/>
      <c r="AB39" s="15"/>
      <c r="AC39" s="15"/>
      <c r="AD39" s="15"/>
    </row>
    <row r="40" spans="2:30" ht="20.25" customHeight="1" thickTop="1" x14ac:dyDescent="0.2">
      <c r="B40" s="355" t="s">
        <v>352</v>
      </c>
      <c r="C40" s="356"/>
      <c r="D40" s="356"/>
      <c r="E40" s="356"/>
      <c r="F40" s="356"/>
      <c r="G40" s="356"/>
      <c r="H40" s="483" t="s">
        <v>353</v>
      </c>
      <c r="I40" s="484"/>
      <c r="J40" s="484"/>
      <c r="K40" s="484"/>
      <c r="L40" s="484"/>
      <c r="M40" s="484"/>
      <c r="N40" s="484"/>
      <c r="O40" s="484"/>
      <c r="P40" s="484"/>
      <c r="Q40" s="484"/>
      <c r="R40" s="484"/>
      <c r="S40" s="484"/>
      <c r="T40" s="484"/>
      <c r="U40" s="484"/>
      <c r="V40" s="484"/>
      <c r="W40" s="484"/>
      <c r="X40" s="484"/>
      <c r="Y40" s="484"/>
      <c r="Z40" s="484"/>
      <c r="AA40" s="484"/>
      <c r="AB40" s="484"/>
      <c r="AC40" s="484"/>
      <c r="AD40" s="485"/>
    </row>
    <row r="41" spans="2:30" ht="20.25" customHeight="1" thickBot="1" x14ac:dyDescent="0.25">
      <c r="B41" s="357"/>
      <c r="C41" s="358"/>
      <c r="D41" s="358"/>
      <c r="E41" s="358"/>
      <c r="F41" s="358"/>
      <c r="G41" s="358"/>
      <c r="H41" s="486" t="s">
        <v>406</v>
      </c>
      <c r="I41" s="487"/>
      <c r="J41" s="487"/>
      <c r="K41" s="487"/>
      <c r="L41" s="487"/>
      <c r="M41" s="487"/>
      <c r="N41" s="488">
        <f ca="1">IF(I18="","",I18)</f>
        <v>45832</v>
      </c>
      <c r="O41" s="489"/>
      <c r="P41" s="489"/>
      <c r="Q41" s="489"/>
      <c r="R41" s="34" t="s">
        <v>407</v>
      </c>
      <c r="S41" s="490"/>
      <c r="T41" s="490"/>
      <c r="U41" s="490"/>
      <c r="V41" s="491" t="s">
        <v>408</v>
      </c>
      <c r="W41" s="491"/>
      <c r="X41" s="34"/>
      <c r="Y41" s="34"/>
      <c r="Z41" s="34"/>
      <c r="AA41" s="34"/>
      <c r="AB41" s="34"/>
      <c r="AC41" s="34"/>
      <c r="AD41" s="35"/>
    </row>
    <row r="42" spans="2:30" ht="4.5" customHeight="1" thickTop="1" x14ac:dyDescent="0.2"/>
  </sheetData>
  <mergeCells count="134">
    <mergeCell ref="B40:G41"/>
    <mergeCell ref="H40:L40"/>
    <mergeCell ref="M40:AD40"/>
    <mergeCell ref="H41:M41"/>
    <mergeCell ref="N41:Q41"/>
    <mergeCell ref="S41:U41"/>
    <mergeCell ref="V41:W41"/>
    <mergeCell ref="W37:X37"/>
    <mergeCell ref="B38:C38"/>
    <mergeCell ref="D38:G38"/>
    <mergeCell ref="H38:R38"/>
    <mergeCell ref="S38:V38"/>
    <mergeCell ref="W38:X38"/>
    <mergeCell ref="B36:C36"/>
    <mergeCell ref="D36:G36"/>
    <mergeCell ref="H36:R36"/>
    <mergeCell ref="S36:V36"/>
    <mergeCell ref="B37:C37"/>
    <mergeCell ref="D37:G37"/>
    <mergeCell ref="H37:R37"/>
    <mergeCell ref="S37:V37"/>
    <mergeCell ref="W36:X36"/>
    <mergeCell ref="B35:C35"/>
    <mergeCell ref="D35:G35"/>
    <mergeCell ref="H35:R35"/>
    <mergeCell ref="S35:V35"/>
    <mergeCell ref="W35:X35"/>
    <mergeCell ref="B34:C34"/>
    <mergeCell ref="D34:G34"/>
    <mergeCell ref="H34:R34"/>
    <mergeCell ref="S34:V34"/>
    <mergeCell ref="W34:X34"/>
    <mergeCell ref="B33:C33"/>
    <mergeCell ref="D33:G33"/>
    <mergeCell ref="H33:R33"/>
    <mergeCell ref="S33:V33"/>
    <mergeCell ref="W33:X33"/>
    <mergeCell ref="B32:C32"/>
    <mergeCell ref="D32:G32"/>
    <mergeCell ref="H32:R32"/>
    <mergeCell ref="S32:V32"/>
    <mergeCell ref="W32:X32"/>
    <mergeCell ref="B31:C31"/>
    <mergeCell ref="D31:G31"/>
    <mergeCell ref="H31:R31"/>
    <mergeCell ref="S31:V31"/>
    <mergeCell ref="W31:X31"/>
    <mergeCell ref="B30:C30"/>
    <mergeCell ref="D30:G30"/>
    <mergeCell ref="H30:R30"/>
    <mergeCell ref="S30:V30"/>
    <mergeCell ref="W30:X30"/>
    <mergeCell ref="B29:C29"/>
    <mergeCell ref="D29:G29"/>
    <mergeCell ref="H29:R29"/>
    <mergeCell ref="S29:V29"/>
    <mergeCell ref="W29:X29"/>
    <mergeCell ref="B28:C28"/>
    <mergeCell ref="D28:G28"/>
    <mergeCell ref="H28:R28"/>
    <mergeCell ref="S28:V28"/>
    <mergeCell ref="W28:X28"/>
    <mergeCell ref="W26:X26"/>
    <mergeCell ref="B27:C27"/>
    <mergeCell ref="D27:G27"/>
    <mergeCell ref="H27:R27"/>
    <mergeCell ref="S27:V27"/>
    <mergeCell ref="W27:X27"/>
    <mergeCell ref="B26:C26"/>
    <mergeCell ref="D26:G26"/>
    <mergeCell ref="H26:R26"/>
    <mergeCell ref="S26:V26"/>
    <mergeCell ref="B18:G20"/>
    <mergeCell ref="I18:O19"/>
    <mergeCell ref="P18:T18"/>
    <mergeCell ref="P19:T19"/>
    <mergeCell ref="L10:AD10"/>
    <mergeCell ref="B11:AD11"/>
    <mergeCell ref="W24:X24"/>
    <mergeCell ref="B25:C25"/>
    <mergeCell ref="D25:G25"/>
    <mergeCell ref="H25:R25"/>
    <mergeCell ref="S25:V25"/>
    <mergeCell ref="W25:X25"/>
    <mergeCell ref="B24:C24"/>
    <mergeCell ref="D24:G24"/>
    <mergeCell ref="H24:R24"/>
    <mergeCell ref="S24:V24"/>
    <mergeCell ref="B23:G23"/>
    <mergeCell ref="H23:R23"/>
    <mergeCell ref="S23:X23"/>
    <mergeCell ref="AA23:AD23"/>
    <mergeCell ref="W21:AA21"/>
    <mergeCell ref="AB21:AD21"/>
    <mergeCell ref="B21:G21"/>
    <mergeCell ref="H21:N21"/>
    <mergeCell ref="O21:S21"/>
    <mergeCell ref="T21:V21"/>
    <mergeCell ref="AG17:AI17"/>
    <mergeCell ref="U18:X19"/>
    <mergeCell ref="Y18:AD19"/>
    <mergeCell ref="H20:AD20"/>
    <mergeCell ref="H13:AD13"/>
    <mergeCell ref="H14:AD14"/>
    <mergeCell ref="H15:AD15"/>
    <mergeCell ref="H17:AD17"/>
    <mergeCell ref="H16:M16"/>
    <mergeCell ref="N16:AD16"/>
    <mergeCell ref="B9:F10"/>
    <mergeCell ref="G9:J10"/>
    <mergeCell ref="V4:X4"/>
    <mergeCell ref="Y4:AD4"/>
    <mergeCell ref="B4:F4"/>
    <mergeCell ref="G4:J4"/>
    <mergeCell ref="L4:N4"/>
    <mergeCell ref="O4:U4"/>
    <mergeCell ref="B13:G17"/>
    <mergeCell ref="B5:F6"/>
    <mergeCell ref="G5:J6"/>
    <mergeCell ref="L6:AD6"/>
    <mergeCell ref="B7:F7"/>
    <mergeCell ref="G7:J7"/>
    <mergeCell ref="B8:F8"/>
    <mergeCell ref="L8:AD9"/>
    <mergeCell ref="L7:AD7"/>
    <mergeCell ref="C1:Q1"/>
    <mergeCell ref="R1:AD1"/>
    <mergeCell ref="B3:F3"/>
    <mergeCell ref="G3:J3"/>
    <mergeCell ref="L3:N3"/>
    <mergeCell ref="O3:U3"/>
    <mergeCell ref="V3:X3"/>
    <mergeCell ref="Y3:AD3"/>
    <mergeCell ref="G8:J8"/>
  </mergeCells>
  <phoneticPr fontId="6"/>
  <pageMargins left="0.43307086614173229" right="0.43307086614173229" top="0.47244094488188981" bottom="0.47244094488188981" header="0.31496062992125984" footer="0.31496062992125984"/>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66FFFF"/>
  </sheetPr>
  <dimension ref="B1:AI42"/>
  <sheetViews>
    <sheetView view="pageBreakPreview" zoomScale="60" zoomScaleNormal="100" workbookViewId="0">
      <selection activeCell="G7" sqref="G7:I16"/>
    </sheetView>
  </sheetViews>
  <sheetFormatPr defaultRowHeight="13.2" x14ac:dyDescent="0.2"/>
  <cols>
    <col min="1" max="1" width="0.44140625" customWidth="1"/>
    <col min="2" max="2" width="1.88671875" customWidth="1"/>
    <col min="3" max="3" width="1.21875" customWidth="1"/>
    <col min="4" max="4" width="3.33203125" customWidth="1"/>
    <col min="5" max="5" width="5" customWidth="1"/>
    <col min="6" max="6" width="2.109375" customWidth="1"/>
    <col min="7" max="7" width="3" customWidth="1"/>
    <col min="8" max="8" width="1" customWidth="1"/>
    <col min="9" max="9" width="4.44140625" customWidth="1"/>
    <col min="10" max="10" width="5.21875" customWidth="1"/>
    <col min="11" max="11" width="1.21875" customWidth="1"/>
    <col min="12" max="12" width="4.6640625" customWidth="1"/>
    <col min="13" max="13" width="2.6640625" customWidth="1"/>
    <col min="14" max="14" width="3.21875" customWidth="1"/>
    <col min="15" max="15" width="2.44140625" customWidth="1"/>
    <col min="16" max="16" width="2.6640625" customWidth="1"/>
    <col min="17" max="17" width="5.44140625" customWidth="1"/>
    <col min="18" max="18" width="4.109375" customWidth="1"/>
    <col min="19" max="19" width="4.33203125" customWidth="1"/>
    <col min="20" max="20" width="4.21875" customWidth="1"/>
    <col min="21" max="21" width="4.44140625" customWidth="1"/>
    <col min="22" max="22" width="5" customWidth="1"/>
    <col min="23" max="23" width="2.44140625" customWidth="1"/>
    <col min="24" max="24" width="3.109375" customWidth="1"/>
    <col min="25" max="25" width="6.44140625" customWidth="1"/>
    <col min="26" max="26" width="1.109375" customWidth="1"/>
    <col min="27" max="28" width="3" customWidth="1"/>
    <col min="29" max="29" width="2.21875" customWidth="1"/>
    <col min="30" max="30" width="1.44140625" customWidth="1"/>
    <col min="31" max="31" width="0.44140625" customWidth="1"/>
    <col min="32" max="32" width="1.77734375" customWidth="1"/>
    <col min="33" max="33" width="7.88671875" customWidth="1"/>
    <col min="34" max="34" width="6.6640625" customWidth="1"/>
    <col min="35" max="35" width="7.44140625" customWidth="1"/>
    <col min="39" max="39" width="9.77734375" customWidth="1"/>
    <col min="40" max="40" width="77.109375" customWidth="1"/>
    <col min="41" max="41" width="15" customWidth="1"/>
  </cols>
  <sheetData>
    <row r="1" spans="2:30" ht="33.75" customHeight="1" x14ac:dyDescent="0.2">
      <c r="B1" s="3" t="s">
        <v>3569</v>
      </c>
      <c r="C1" s="187" t="e">
        <f>メーカー加工場!B69</f>
        <v>#REF!</v>
      </c>
      <c r="D1" s="187"/>
      <c r="E1" s="187"/>
      <c r="F1" s="187"/>
      <c r="G1" s="187"/>
      <c r="H1" s="187"/>
      <c r="I1" s="187"/>
      <c r="J1" s="187"/>
      <c r="K1" s="187"/>
      <c r="L1" s="187"/>
      <c r="M1" s="187"/>
      <c r="N1" s="187"/>
      <c r="O1" s="187"/>
      <c r="P1" s="187"/>
      <c r="Q1" s="187"/>
      <c r="R1" s="403" t="s">
        <v>368</v>
      </c>
      <c r="S1" s="403"/>
      <c r="T1" s="403"/>
      <c r="U1" s="403"/>
      <c r="V1" s="403"/>
      <c r="W1" s="403"/>
      <c r="X1" s="403"/>
      <c r="Y1" s="403"/>
      <c r="Z1" s="403"/>
      <c r="AA1" s="403"/>
      <c r="AB1" s="403"/>
      <c r="AC1" s="403"/>
      <c r="AD1" s="403"/>
    </row>
    <row r="2" spans="2:30" ht="3.75" customHeight="1" thickBot="1" x14ac:dyDescent="0.25">
      <c r="B2" s="3"/>
      <c r="C2" s="4"/>
      <c r="D2" s="4"/>
      <c r="E2" s="4"/>
      <c r="F2" s="4"/>
      <c r="G2" s="4"/>
      <c r="H2" s="4"/>
      <c r="I2" s="4"/>
      <c r="J2" s="4"/>
      <c r="K2" s="4"/>
      <c r="L2" s="4"/>
      <c r="M2" s="4"/>
      <c r="N2" s="4"/>
      <c r="O2" s="4"/>
      <c r="P2" s="4"/>
      <c r="Q2" s="4"/>
      <c r="R2" s="5"/>
      <c r="S2" s="5"/>
      <c r="T2" s="5"/>
      <c r="U2" s="5"/>
      <c r="V2" s="5"/>
      <c r="W2" s="5"/>
      <c r="X2" s="5"/>
      <c r="Y2" s="5"/>
      <c r="Z2" s="5"/>
      <c r="AA2" s="5"/>
      <c r="AB2" s="5"/>
      <c r="AC2" s="5"/>
      <c r="AD2" s="5"/>
    </row>
    <row r="3" spans="2:30" ht="30" customHeight="1" x14ac:dyDescent="0.2">
      <c r="B3" s="189" t="s">
        <v>325</v>
      </c>
      <c r="C3" s="190"/>
      <c r="D3" s="190"/>
      <c r="E3" s="190"/>
      <c r="F3" s="191"/>
      <c r="G3" s="192" t="s">
        <v>326</v>
      </c>
      <c r="H3" s="190"/>
      <c r="I3" s="190"/>
      <c r="J3" s="193"/>
      <c r="K3" s="6"/>
      <c r="L3" s="194" t="s">
        <v>327</v>
      </c>
      <c r="M3" s="195"/>
      <c r="N3" s="196"/>
      <c r="O3" s="427" t="s">
        <v>354</v>
      </c>
      <c r="P3" s="428"/>
      <c r="Q3" s="428"/>
      <c r="R3" s="428"/>
      <c r="S3" s="428"/>
      <c r="T3" s="428"/>
      <c r="U3" s="429"/>
      <c r="V3" s="200" t="s">
        <v>328</v>
      </c>
      <c r="W3" s="201"/>
      <c r="X3" s="202"/>
      <c r="Y3" s="430" t="str">
        <f>メーカー加工場!B71</f>
        <v>●●</v>
      </c>
      <c r="Z3" s="431"/>
      <c r="AA3" s="431"/>
      <c r="AB3" s="431"/>
      <c r="AC3" s="431"/>
      <c r="AD3" s="432"/>
    </row>
    <row r="4" spans="2:30" ht="25.5" customHeight="1" thickBot="1" x14ac:dyDescent="0.25">
      <c r="B4" s="213" t="s">
        <v>329</v>
      </c>
      <c r="C4" s="214"/>
      <c r="D4" s="214"/>
      <c r="E4" s="214"/>
      <c r="F4" s="215"/>
      <c r="G4" s="237"/>
      <c r="H4" s="238"/>
      <c r="I4" s="238"/>
      <c r="J4" s="239"/>
      <c r="K4" s="7"/>
      <c r="L4" s="219" t="s">
        <v>330</v>
      </c>
      <c r="M4" s="220"/>
      <c r="N4" s="221"/>
      <c r="O4" s="433"/>
      <c r="P4" s="434"/>
      <c r="Q4" s="434"/>
      <c r="R4" s="434"/>
      <c r="S4" s="434"/>
      <c r="T4" s="434"/>
      <c r="U4" s="435"/>
      <c r="V4" s="207" t="s">
        <v>331</v>
      </c>
      <c r="W4" s="208"/>
      <c r="X4" s="209"/>
      <c r="Y4" s="210"/>
      <c r="Z4" s="211"/>
      <c r="AA4" s="211"/>
      <c r="AB4" s="211"/>
      <c r="AC4" s="211"/>
      <c r="AD4" s="212"/>
    </row>
    <row r="5" spans="2:30" ht="6" customHeight="1" x14ac:dyDescent="0.2">
      <c r="B5" s="213" t="s">
        <v>332</v>
      </c>
      <c r="C5" s="214"/>
      <c r="D5" s="214"/>
      <c r="E5" s="214"/>
      <c r="F5" s="215"/>
      <c r="G5" s="237">
        <f ca="1">TODAY()</f>
        <v>45831</v>
      </c>
      <c r="H5" s="238"/>
      <c r="I5" s="238"/>
      <c r="J5" s="239"/>
      <c r="K5" s="7"/>
      <c r="L5" s="8"/>
      <c r="M5" s="8"/>
      <c r="N5" s="8"/>
      <c r="O5" s="8"/>
      <c r="P5" s="9"/>
      <c r="Q5" s="9"/>
      <c r="R5" s="9"/>
      <c r="S5" s="9"/>
      <c r="T5" s="9"/>
      <c r="U5" s="9"/>
      <c r="V5" s="10"/>
      <c r="W5" s="10"/>
      <c r="X5" s="10"/>
      <c r="Y5" s="11"/>
      <c r="Z5" s="11"/>
      <c r="AA5" s="11"/>
      <c r="AB5" s="11"/>
      <c r="AC5" s="11"/>
      <c r="AD5" s="11"/>
    </row>
    <row r="6" spans="2:30" ht="21" customHeight="1" x14ac:dyDescent="0.2">
      <c r="B6" s="234"/>
      <c r="C6" s="235"/>
      <c r="D6" s="235"/>
      <c r="E6" s="235"/>
      <c r="F6" s="236"/>
      <c r="G6" s="240"/>
      <c r="H6" s="241"/>
      <c r="I6" s="241"/>
      <c r="J6" s="242"/>
      <c r="K6" s="7"/>
      <c r="L6" s="243" t="s">
        <v>333</v>
      </c>
      <c r="M6" s="244"/>
      <c r="N6" s="244"/>
      <c r="O6" s="244"/>
      <c r="P6" s="244"/>
      <c r="Q6" s="244"/>
      <c r="R6" s="244"/>
      <c r="S6" s="244"/>
      <c r="T6" s="244"/>
      <c r="U6" s="244"/>
      <c r="V6" s="244"/>
      <c r="W6" s="244"/>
      <c r="X6" s="244"/>
      <c r="Y6" s="244"/>
      <c r="Z6" s="244"/>
      <c r="AA6" s="244"/>
      <c r="AB6" s="244"/>
      <c r="AC6" s="244"/>
      <c r="AD6" s="245"/>
    </row>
    <row r="7" spans="2:30" ht="25.5" customHeight="1" x14ac:dyDescent="0.2">
      <c r="B7" s="246" t="s">
        <v>334</v>
      </c>
      <c r="C7" s="247"/>
      <c r="D7" s="247"/>
      <c r="E7" s="247"/>
      <c r="F7" s="248"/>
      <c r="G7" s="249"/>
      <c r="H7" s="250"/>
      <c r="I7" s="250"/>
      <c r="J7" s="251"/>
      <c r="K7" s="7"/>
      <c r="L7" s="442" t="s">
        <v>3589</v>
      </c>
      <c r="M7" s="443"/>
      <c r="N7" s="443"/>
      <c r="O7" s="443"/>
      <c r="P7" s="443"/>
      <c r="Q7" s="443"/>
      <c r="R7" s="443"/>
      <c r="S7" s="443"/>
      <c r="T7" s="443"/>
      <c r="U7" s="443"/>
      <c r="V7" s="443"/>
      <c r="W7" s="443"/>
      <c r="X7" s="443"/>
      <c r="Y7" s="443"/>
      <c r="Z7" s="443"/>
      <c r="AA7" s="443"/>
      <c r="AB7" s="443"/>
      <c r="AC7" s="443"/>
      <c r="AD7" s="444"/>
    </row>
    <row r="8" spans="2:30" ht="25.5" customHeight="1" x14ac:dyDescent="0.2">
      <c r="B8" s="246" t="s">
        <v>335</v>
      </c>
      <c r="C8" s="247"/>
      <c r="D8" s="247"/>
      <c r="E8" s="247"/>
      <c r="F8" s="248"/>
      <c r="G8" s="252"/>
      <c r="H8" s="253"/>
      <c r="I8" s="253"/>
      <c r="J8" s="254"/>
      <c r="K8" s="7"/>
      <c r="L8" s="439"/>
      <c r="M8" s="440"/>
      <c r="N8" s="440"/>
      <c r="O8" s="440"/>
      <c r="P8" s="440"/>
      <c r="Q8" s="440"/>
      <c r="R8" s="440"/>
      <c r="S8" s="440"/>
      <c r="T8" s="440"/>
      <c r="U8" s="440"/>
      <c r="V8" s="440"/>
      <c r="W8" s="440"/>
      <c r="X8" s="440"/>
      <c r="Y8" s="440"/>
      <c r="Z8" s="440"/>
      <c r="AA8" s="440"/>
      <c r="AB8" s="440"/>
      <c r="AC8" s="440"/>
      <c r="AD8" s="441"/>
    </row>
    <row r="9" spans="2:30" ht="10.5" customHeight="1" x14ac:dyDescent="0.2">
      <c r="B9" s="255" t="s">
        <v>336</v>
      </c>
      <c r="C9" s="256"/>
      <c r="D9" s="256"/>
      <c r="E9" s="256"/>
      <c r="F9" s="257"/>
      <c r="G9" s="261"/>
      <c r="H9" s="262"/>
      <c r="I9" s="262"/>
      <c r="J9" s="263"/>
      <c r="K9" s="7"/>
      <c r="L9" s="439"/>
      <c r="M9" s="440"/>
      <c r="N9" s="440"/>
      <c r="O9" s="440"/>
      <c r="P9" s="440"/>
      <c r="Q9" s="440"/>
      <c r="R9" s="440"/>
      <c r="S9" s="440"/>
      <c r="T9" s="440"/>
      <c r="U9" s="440"/>
      <c r="V9" s="440"/>
      <c r="W9" s="440"/>
      <c r="X9" s="440"/>
      <c r="Y9" s="440"/>
      <c r="Z9" s="440"/>
      <c r="AA9" s="440"/>
      <c r="AB9" s="440"/>
      <c r="AC9" s="440"/>
      <c r="AD9" s="441"/>
    </row>
    <row r="10" spans="2:30" ht="15" customHeight="1" thickBot="1" x14ac:dyDescent="0.25">
      <c r="B10" s="258"/>
      <c r="C10" s="259"/>
      <c r="D10" s="259"/>
      <c r="E10" s="259"/>
      <c r="F10" s="260"/>
      <c r="G10" s="264"/>
      <c r="H10" s="265"/>
      <c r="I10" s="265"/>
      <c r="J10" s="266"/>
      <c r="K10" s="7"/>
      <c r="L10" s="406" t="s">
        <v>337</v>
      </c>
      <c r="M10" s="407"/>
      <c r="N10" s="407"/>
      <c r="O10" s="407"/>
      <c r="P10" s="407"/>
      <c r="Q10" s="407"/>
      <c r="R10" s="407"/>
      <c r="S10" s="407"/>
      <c r="T10" s="407"/>
      <c r="U10" s="407"/>
      <c r="V10" s="407"/>
      <c r="W10" s="407"/>
      <c r="X10" s="407"/>
      <c r="Y10" s="407"/>
      <c r="Z10" s="407"/>
      <c r="AA10" s="407"/>
      <c r="AB10" s="407"/>
      <c r="AC10" s="407"/>
      <c r="AD10" s="408"/>
    </row>
    <row r="11" spans="2:30" ht="17.25" customHeight="1" x14ac:dyDescent="0.2">
      <c r="B11" s="267" t="e">
        <f>メーカー加工場!B70</f>
        <v>#REF!</v>
      </c>
      <c r="C11" s="267"/>
      <c r="D11" s="267"/>
      <c r="E11" s="267"/>
      <c r="F11" s="267"/>
      <c r="G11" s="267"/>
      <c r="H11" s="267"/>
      <c r="I11" s="267"/>
      <c r="J11" s="267"/>
      <c r="K11" s="267"/>
      <c r="L11" s="267"/>
      <c r="M11" s="267"/>
      <c r="N11" s="267"/>
      <c r="O11" s="267"/>
      <c r="P11" s="267"/>
      <c r="Q11" s="267"/>
      <c r="R11" s="267"/>
      <c r="S11" s="267"/>
      <c r="T11" s="267"/>
      <c r="U11" s="267"/>
      <c r="V11" s="267"/>
      <c r="W11" s="267"/>
      <c r="X11" s="267"/>
      <c r="Y11" s="267"/>
      <c r="Z11" s="267"/>
      <c r="AA11" s="267"/>
      <c r="AB11" s="267"/>
      <c r="AC11" s="267"/>
      <c r="AD11" s="267"/>
    </row>
    <row r="12" spans="2:30" ht="6" customHeight="1" thickBot="1" x14ac:dyDescent="0.25">
      <c r="B12" s="12"/>
      <c r="C12" s="12"/>
      <c r="D12" s="12"/>
      <c r="E12" s="12"/>
      <c r="F12" s="12"/>
      <c r="G12" s="12"/>
      <c r="H12" s="12"/>
      <c r="I12" s="12"/>
      <c r="J12" s="12"/>
      <c r="K12" s="12"/>
      <c r="L12" s="12"/>
      <c r="M12" s="12"/>
      <c r="N12" s="12"/>
      <c r="O12" s="12"/>
      <c r="P12" s="12"/>
      <c r="Q12" s="12"/>
      <c r="R12" s="12"/>
      <c r="S12" s="12"/>
      <c r="T12" s="12"/>
      <c r="U12" s="12"/>
      <c r="V12" s="12"/>
      <c r="W12" s="12"/>
      <c r="X12" s="12"/>
      <c r="Y12" s="12"/>
      <c r="Z12" s="12"/>
      <c r="AA12" s="12"/>
      <c r="AB12" s="12"/>
      <c r="AC12" s="12"/>
      <c r="AD12" s="12"/>
    </row>
    <row r="13" spans="2:30" ht="17.25" customHeight="1" x14ac:dyDescent="0.2">
      <c r="B13" s="268" t="s">
        <v>338</v>
      </c>
      <c r="C13" s="269"/>
      <c r="D13" s="269"/>
      <c r="E13" s="269"/>
      <c r="F13" s="269"/>
      <c r="G13" s="270"/>
      <c r="H13" s="456" t="s">
        <v>339</v>
      </c>
      <c r="I13" s="457"/>
      <c r="J13" s="457"/>
      <c r="K13" s="457"/>
      <c r="L13" s="457"/>
      <c r="M13" s="457"/>
      <c r="N13" s="457"/>
      <c r="O13" s="457"/>
      <c r="P13" s="457"/>
      <c r="Q13" s="457"/>
      <c r="R13" s="457"/>
      <c r="S13" s="457"/>
      <c r="T13" s="457"/>
      <c r="U13" s="457"/>
      <c r="V13" s="457"/>
      <c r="W13" s="457"/>
      <c r="X13" s="457"/>
      <c r="Y13" s="457"/>
      <c r="Z13" s="457"/>
      <c r="AA13" s="457"/>
      <c r="AB13" s="457"/>
      <c r="AC13" s="457"/>
      <c r="AD13" s="458"/>
    </row>
    <row r="14" spans="2:30" ht="17.25" customHeight="1" x14ac:dyDescent="0.2">
      <c r="B14" s="271"/>
      <c r="C14" s="272"/>
      <c r="D14" s="272"/>
      <c r="E14" s="272"/>
      <c r="F14" s="272"/>
      <c r="G14" s="273"/>
      <c r="H14" s="459" t="s">
        <v>340</v>
      </c>
      <c r="I14" s="460"/>
      <c r="J14" s="460"/>
      <c r="K14" s="460"/>
      <c r="L14" s="460"/>
      <c r="M14" s="460"/>
      <c r="N14" s="460"/>
      <c r="O14" s="460"/>
      <c r="P14" s="460"/>
      <c r="Q14" s="460"/>
      <c r="R14" s="460"/>
      <c r="S14" s="460"/>
      <c r="T14" s="460"/>
      <c r="U14" s="460"/>
      <c r="V14" s="460"/>
      <c r="W14" s="460"/>
      <c r="X14" s="460"/>
      <c r="Y14" s="460"/>
      <c r="Z14" s="460"/>
      <c r="AA14" s="460"/>
      <c r="AB14" s="460"/>
      <c r="AC14" s="460"/>
      <c r="AD14" s="461"/>
    </row>
    <row r="15" spans="2:30" ht="15.75" customHeight="1" x14ac:dyDescent="0.2">
      <c r="B15" s="271"/>
      <c r="C15" s="272"/>
      <c r="D15" s="272"/>
      <c r="E15" s="272"/>
      <c r="F15" s="272"/>
      <c r="G15" s="273"/>
      <c r="H15" s="462" t="s">
        <v>341</v>
      </c>
      <c r="I15" s="463"/>
      <c r="J15" s="463"/>
      <c r="K15" s="463"/>
      <c r="L15" s="463"/>
      <c r="M15" s="463"/>
      <c r="N15" s="463"/>
      <c r="O15" s="463"/>
      <c r="P15" s="463"/>
      <c r="Q15" s="463"/>
      <c r="R15" s="463"/>
      <c r="S15" s="463"/>
      <c r="T15" s="463"/>
      <c r="U15" s="463"/>
      <c r="V15" s="463"/>
      <c r="W15" s="463"/>
      <c r="X15" s="463"/>
      <c r="Y15" s="463"/>
      <c r="Z15" s="463"/>
      <c r="AA15" s="463"/>
      <c r="AB15" s="463"/>
      <c r="AC15" s="463"/>
      <c r="AD15" s="464"/>
    </row>
    <row r="16" spans="2:30" ht="17.25" customHeight="1" x14ac:dyDescent="0.2">
      <c r="B16" s="271"/>
      <c r="C16" s="272"/>
      <c r="D16" s="272"/>
      <c r="E16" s="272"/>
      <c r="F16" s="272"/>
      <c r="G16" s="273"/>
      <c r="H16" s="497" t="s">
        <v>735</v>
      </c>
      <c r="I16" s="498"/>
      <c r="J16" s="498"/>
      <c r="K16" s="498"/>
      <c r="L16" s="498"/>
      <c r="M16" s="498"/>
      <c r="N16" s="498"/>
      <c r="O16" s="498"/>
      <c r="P16" s="498"/>
      <c r="Q16" s="498"/>
      <c r="R16" s="498"/>
      <c r="S16" s="498"/>
      <c r="T16" s="498"/>
      <c r="U16" s="498"/>
      <c r="V16" s="498"/>
      <c r="W16" s="498"/>
      <c r="X16" s="498"/>
      <c r="Y16" s="498"/>
      <c r="Z16" s="498"/>
      <c r="AA16" s="498"/>
      <c r="AB16" s="498"/>
      <c r="AC16" s="498"/>
      <c r="AD16" s="499"/>
    </row>
    <row r="17" spans="2:35" ht="99.75" customHeight="1" x14ac:dyDescent="0.2">
      <c r="B17" s="436"/>
      <c r="C17" s="437"/>
      <c r="D17" s="437"/>
      <c r="E17" s="437"/>
      <c r="F17" s="437"/>
      <c r="G17" s="438"/>
      <c r="H17" s="465"/>
      <c r="I17" s="466"/>
      <c r="J17" s="466"/>
      <c r="K17" s="466"/>
      <c r="L17" s="466"/>
      <c r="M17" s="466"/>
      <c r="N17" s="466"/>
      <c r="O17" s="466"/>
      <c r="P17" s="466"/>
      <c r="Q17" s="466"/>
      <c r="R17" s="466"/>
      <c r="S17" s="466"/>
      <c r="T17" s="466"/>
      <c r="U17" s="466"/>
      <c r="V17" s="466"/>
      <c r="W17" s="466"/>
      <c r="X17" s="466"/>
      <c r="Y17" s="466"/>
      <c r="Z17" s="466"/>
      <c r="AA17" s="466"/>
      <c r="AB17" s="466"/>
      <c r="AC17" s="466"/>
      <c r="AD17" s="467"/>
      <c r="AG17" s="447" t="s">
        <v>1829</v>
      </c>
      <c r="AH17" s="447"/>
      <c r="AI17" s="447"/>
    </row>
    <row r="18" spans="2:35" ht="17.25" customHeight="1" x14ac:dyDescent="0.2">
      <c r="B18" s="292" t="s">
        <v>342</v>
      </c>
      <c r="C18" s="293"/>
      <c r="D18" s="293"/>
      <c r="E18" s="293"/>
      <c r="F18" s="293"/>
      <c r="G18" s="293"/>
      <c r="H18" s="13" t="s">
        <v>1414</v>
      </c>
      <c r="I18" s="473"/>
      <c r="J18" s="473"/>
      <c r="K18" s="473"/>
      <c r="L18" s="473"/>
      <c r="M18" s="473"/>
      <c r="N18" s="473"/>
      <c r="O18" s="473"/>
      <c r="P18" s="244" t="s">
        <v>343</v>
      </c>
      <c r="Q18" s="244"/>
      <c r="R18" s="244"/>
      <c r="S18" s="244"/>
      <c r="T18" s="475"/>
      <c r="U18" s="448" t="s">
        <v>344</v>
      </c>
      <c r="V18" s="449"/>
      <c r="W18" s="449"/>
      <c r="X18" s="449"/>
      <c r="Y18" s="496" t="s">
        <v>2975</v>
      </c>
      <c r="Z18" s="452"/>
      <c r="AA18" s="452"/>
      <c r="AB18" s="452"/>
      <c r="AC18" s="452"/>
      <c r="AD18" s="453"/>
    </row>
    <row r="19" spans="2:35" ht="17.25" customHeight="1" x14ac:dyDescent="0.2">
      <c r="B19" s="471"/>
      <c r="C19" s="472"/>
      <c r="D19" s="472"/>
      <c r="E19" s="472"/>
      <c r="F19" s="472"/>
      <c r="G19" s="472"/>
      <c r="H19" s="14" t="s">
        <v>3597</v>
      </c>
      <c r="I19" s="474"/>
      <c r="J19" s="474"/>
      <c r="K19" s="474"/>
      <c r="L19" s="474"/>
      <c r="M19" s="474"/>
      <c r="N19" s="474"/>
      <c r="O19" s="474"/>
      <c r="P19" s="476" t="s">
        <v>345</v>
      </c>
      <c r="Q19" s="476"/>
      <c r="R19" s="476"/>
      <c r="S19" s="476"/>
      <c r="T19" s="477"/>
      <c r="U19" s="450"/>
      <c r="V19" s="451"/>
      <c r="W19" s="451"/>
      <c r="X19" s="451"/>
      <c r="Y19" s="454"/>
      <c r="Z19" s="454"/>
      <c r="AA19" s="454"/>
      <c r="AB19" s="454"/>
      <c r="AC19" s="454"/>
      <c r="AD19" s="455"/>
    </row>
    <row r="20" spans="2:35" ht="13.5" customHeight="1" x14ac:dyDescent="0.2">
      <c r="B20" s="295"/>
      <c r="C20" s="296"/>
      <c r="D20" s="296"/>
      <c r="E20" s="296"/>
      <c r="F20" s="296"/>
      <c r="G20" s="296"/>
      <c r="H20" s="310" t="s">
        <v>346</v>
      </c>
      <c r="I20" s="311"/>
      <c r="J20" s="311"/>
      <c r="K20" s="311"/>
      <c r="L20" s="311"/>
      <c r="M20" s="311"/>
      <c r="N20" s="311"/>
      <c r="O20" s="311"/>
      <c r="P20" s="311"/>
      <c r="Q20" s="311"/>
      <c r="R20" s="311"/>
      <c r="S20" s="311"/>
      <c r="T20" s="311"/>
      <c r="U20" s="311"/>
      <c r="V20" s="311"/>
      <c r="W20" s="311"/>
      <c r="X20" s="311"/>
      <c r="Y20" s="311"/>
      <c r="Z20" s="311"/>
      <c r="AA20" s="311"/>
      <c r="AB20" s="311"/>
      <c r="AC20" s="311"/>
      <c r="AD20" s="312"/>
    </row>
    <row r="21" spans="2:35" ht="34.5" customHeight="1" thickBot="1" x14ac:dyDescent="0.25">
      <c r="B21" s="313" t="s">
        <v>347</v>
      </c>
      <c r="C21" s="314"/>
      <c r="D21" s="314"/>
      <c r="E21" s="314"/>
      <c r="F21" s="314"/>
      <c r="G21" s="315"/>
      <c r="H21" s="481" t="str">
        <f>旧貼付用!G6</f>
        <v>ABC</v>
      </c>
      <c r="I21" s="482"/>
      <c r="J21" s="482"/>
      <c r="K21" s="482"/>
      <c r="L21" s="482"/>
      <c r="M21" s="482"/>
      <c r="N21" s="482"/>
      <c r="O21" s="445" t="s">
        <v>348</v>
      </c>
      <c r="P21" s="445"/>
      <c r="Q21" s="445"/>
      <c r="R21" s="445"/>
      <c r="S21" s="445"/>
      <c r="T21" s="446" t="s">
        <v>349</v>
      </c>
      <c r="U21" s="446"/>
      <c r="V21" s="446"/>
      <c r="W21" s="321" t="str">
        <f>メーカー加工場!B71</f>
        <v>●●</v>
      </c>
      <c r="X21" s="321"/>
      <c r="Y21" s="321"/>
      <c r="Z21" s="321"/>
      <c r="AA21" s="321"/>
      <c r="AB21" s="479" t="s">
        <v>350</v>
      </c>
      <c r="AC21" s="479"/>
      <c r="AD21" s="480"/>
    </row>
    <row r="22" spans="2:35" ht="6" customHeight="1" thickBot="1" x14ac:dyDescent="0.25">
      <c r="B22" s="15"/>
      <c r="C22" s="15"/>
      <c r="D22" s="15"/>
      <c r="E22" s="15"/>
      <c r="F22" s="15"/>
      <c r="G22" s="15"/>
      <c r="H22" s="15"/>
      <c r="I22" s="15"/>
      <c r="J22" s="15"/>
      <c r="K22" s="15"/>
      <c r="L22" s="15"/>
      <c r="M22" s="15"/>
      <c r="N22" s="15"/>
      <c r="O22" s="15"/>
      <c r="P22" s="15"/>
      <c r="Q22" s="15"/>
      <c r="R22" s="15"/>
      <c r="S22" s="15"/>
      <c r="T22" s="15"/>
      <c r="U22" s="15"/>
      <c r="V22" s="15"/>
      <c r="W22" s="15"/>
      <c r="X22" s="15"/>
      <c r="Y22" s="15"/>
      <c r="Z22" s="15"/>
      <c r="AA22" s="15"/>
      <c r="AB22" s="15"/>
      <c r="AC22" s="15"/>
      <c r="AD22" s="15"/>
    </row>
    <row r="23" spans="2:35" ht="24.75" customHeight="1" thickBot="1" x14ac:dyDescent="0.25">
      <c r="B23" s="324" t="s">
        <v>351</v>
      </c>
      <c r="C23" s="325"/>
      <c r="D23" s="325"/>
      <c r="E23" s="325"/>
      <c r="F23" s="325"/>
      <c r="G23" s="325"/>
      <c r="H23" s="325" t="s">
        <v>357</v>
      </c>
      <c r="I23" s="325"/>
      <c r="J23" s="325"/>
      <c r="K23" s="325"/>
      <c r="L23" s="325"/>
      <c r="M23" s="325"/>
      <c r="N23" s="325"/>
      <c r="O23" s="325"/>
      <c r="P23" s="325"/>
      <c r="Q23" s="325"/>
      <c r="R23" s="325"/>
      <c r="S23" s="325" t="s">
        <v>356</v>
      </c>
      <c r="T23" s="325"/>
      <c r="U23" s="325"/>
      <c r="V23" s="325"/>
      <c r="W23" s="325"/>
      <c r="X23" s="325"/>
      <c r="Y23" s="22" t="s">
        <v>355</v>
      </c>
      <c r="Z23" s="17"/>
      <c r="AA23" s="339">
        <f>SUM(Y24:Y38)</f>
        <v>20</v>
      </c>
      <c r="AB23" s="340"/>
      <c r="AC23" s="340"/>
      <c r="AD23" s="341"/>
    </row>
    <row r="24" spans="2:35" ht="20.25" customHeight="1" x14ac:dyDescent="0.2">
      <c r="B24" s="328">
        <v>1</v>
      </c>
      <c r="C24" s="329"/>
      <c r="D24" s="330" t="str">
        <f>IF(メーカー加工場!$B$77=2,"",メーカー加工場!D112)</f>
        <v>PMZ-1001-1</v>
      </c>
      <c r="E24" s="330"/>
      <c r="F24" s="330"/>
      <c r="G24" s="330"/>
      <c r="H24" s="333" t="str">
        <f>IF(メーカー加工場!$B$77=2,"",メーカー加工場!H112)</f>
        <v>ドライショートスリーブTシャツ(左or右胸ロゴ付き)</v>
      </c>
      <c r="I24" s="333"/>
      <c r="J24" s="333"/>
      <c r="K24" s="333"/>
      <c r="L24" s="333"/>
      <c r="M24" s="333"/>
      <c r="N24" s="333"/>
      <c r="O24" s="333"/>
      <c r="P24" s="333"/>
      <c r="Q24" s="333"/>
      <c r="R24" s="333"/>
      <c r="S24" s="333" t="str">
        <f>IF(メーカー加工場!$B$77=2,"",メーカー加工場!T112)</f>
        <v>右胸_本体BLK×ロゴNVY</v>
      </c>
      <c r="T24" s="333"/>
      <c r="U24" s="333"/>
      <c r="V24" s="478"/>
      <c r="W24" s="331" t="str">
        <f>IF(メーカー加工場!Y112=0,"",IF(メーカー加工場!$B$77=2,"",メーカー加工場!Y112))</f>
        <v>M</v>
      </c>
      <c r="X24" s="332"/>
      <c r="Y24" s="19">
        <f>IF(メーカー加工場!$B$77=2,"",メーカー加工場!AA112)</f>
        <v>1</v>
      </c>
      <c r="Z24" s="17"/>
      <c r="AA24" s="18"/>
      <c r="AB24" s="18"/>
      <c r="AC24" s="18"/>
      <c r="AD24" s="18"/>
    </row>
    <row r="25" spans="2:35" ht="20.25" customHeight="1" x14ac:dyDescent="0.15">
      <c r="B25" s="349">
        <v>2</v>
      </c>
      <c r="C25" s="350"/>
      <c r="D25" s="351" t="str">
        <f>IF(メーカー加工場!$B$77=2,"",メーカー加工場!D113)</f>
        <v>PMZ-1001-2</v>
      </c>
      <c r="E25" s="352"/>
      <c r="F25" s="352"/>
      <c r="G25" s="353"/>
      <c r="H25" s="342" t="str">
        <f>IF(メーカー加工場!$B$77=2,"",メーカー加工場!H113)</f>
        <v>ドライショートスリーブTシャツ(左or右袖ロゴ付き)</v>
      </c>
      <c r="I25" s="343"/>
      <c r="J25" s="343"/>
      <c r="K25" s="343"/>
      <c r="L25" s="343"/>
      <c r="M25" s="343"/>
      <c r="N25" s="343"/>
      <c r="O25" s="343"/>
      <c r="P25" s="343"/>
      <c r="Q25" s="343"/>
      <c r="R25" s="354"/>
      <c r="S25" s="342" t="str">
        <f>IF(メーカー加工場!$B$77=2,"",メーカー加工場!T113)</f>
        <v>右袖_本体WHT×ロゴHtPNK</v>
      </c>
      <c r="T25" s="343"/>
      <c r="U25" s="343"/>
      <c r="V25" s="344"/>
      <c r="W25" s="345" t="str">
        <f>IF(メーカー加工場!Y113=0,"",IF(メーカー加工場!$B$77=2,"",メーカー加工場!Y113))</f>
        <v>M</v>
      </c>
      <c r="X25" s="346"/>
      <c r="Y25" s="20">
        <f>IF(メーカー加工場!$B$77=2,"",メーカー加工場!AA113)</f>
        <v>2</v>
      </c>
      <c r="Z25" s="15"/>
      <c r="AA25" s="95"/>
      <c r="AB25" s="15"/>
      <c r="AC25" s="15"/>
      <c r="AD25" s="16"/>
    </row>
    <row r="26" spans="2:35" ht="20.25" customHeight="1" x14ac:dyDescent="0.15">
      <c r="B26" s="349">
        <v>3</v>
      </c>
      <c r="C26" s="350"/>
      <c r="D26" s="351" t="str">
        <f>IF(メーカー加工場!$B$77=2,"",メーカー加工場!D114)</f>
        <v>PMZ-1001-3</v>
      </c>
      <c r="E26" s="352"/>
      <c r="F26" s="352"/>
      <c r="G26" s="353"/>
      <c r="H26" s="342" t="str">
        <f>IF(メーカー加工場!$B$77=2,"",メーカー加工場!H114)</f>
        <v>ドライショートスリーブTシャツ(背中襟下ロゴ付き)</v>
      </c>
      <c r="I26" s="343"/>
      <c r="J26" s="343"/>
      <c r="K26" s="343"/>
      <c r="L26" s="343"/>
      <c r="M26" s="343"/>
      <c r="N26" s="343"/>
      <c r="O26" s="343"/>
      <c r="P26" s="343"/>
      <c r="Q26" s="343"/>
      <c r="R26" s="354"/>
      <c r="S26" s="342" t="str">
        <f>IF(メーカー加工場!$B$77=2,"",メーカー加工場!T114)</f>
        <v>背中襟下_本体NVY×ロゴLmGRN</v>
      </c>
      <c r="T26" s="343"/>
      <c r="U26" s="343"/>
      <c r="V26" s="344"/>
      <c r="W26" s="345">
        <f>IF(メーカー加工場!Y114=0,"",IF(メーカー加工場!$B$77=2,"",メーカー加工場!Y114))</f>
        <v>150</v>
      </c>
      <c r="X26" s="346"/>
      <c r="Y26" s="20">
        <f>IF(メーカー加工場!$B$77=2,"",メーカー加工場!AA114)</f>
        <v>3</v>
      </c>
      <c r="Z26" s="15"/>
      <c r="AA26" s="95"/>
      <c r="AB26" s="15"/>
      <c r="AC26" s="15"/>
      <c r="AD26" s="16"/>
    </row>
    <row r="27" spans="2:35" ht="20.25" customHeight="1" x14ac:dyDescent="0.15">
      <c r="B27" s="349">
        <v>4</v>
      </c>
      <c r="C27" s="350"/>
      <c r="D27" s="351" t="str">
        <f>IF(メーカー加工場!$B$77=2,"",メーカー加工場!D115)</f>
        <v>PMZ-2001-1</v>
      </c>
      <c r="E27" s="352"/>
      <c r="F27" s="352"/>
      <c r="G27" s="353"/>
      <c r="H27" s="342" t="str">
        <f>IF(メーカー加工場!$B$77=2,"",メーカー加工場!H115)</f>
        <v>ドライロングスリーブTシャツ(左or右胸ロゴ付き)</v>
      </c>
      <c r="I27" s="343"/>
      <c r="J27" s="343"/>
      <c r="K27" s="343"/>
      <c r="L27" s="343"/>
      <c r="M27" s="343"/>
      <c r="N27" s="343"/>
      <c r="O27" s="343"/>
      <c r="P27" s="343"/>
      <c r="Q27" s="343"/>
      <c r="R27" s="354"/>
      <c r="S27" s="342" t="str">
        <f>IF(メーカー加工場!$B$77=2,"",メーカー加工場!T115)</f>
        <v>左胸_本体WHT×ロゴBLU</v>
      </c>
      <c r="T27" s="343"/>
      <c r="U27" s="343"/>
      <c r="V27" s="344"/>
      <c r="W27" s="345" t="str">
        <f>IF(メーカー加工場!Y115=0,"",IF(メーカー加工場!$B$77=2,"",メーカー加工場!Y115))</f>
        <v>L</v>
      </c>
      <c r="X27" s="346"/>
      <c r="Y27" s="20">
        <f>IF(メーカー加工場!$B$77=2,"",メーカー加工場!AA115)</f>
        <v>1</v>
      </c>
      <c r="Z27" s="15"/>
      <c r="AA27" s="15"/>
      <c r="AB27" s="15"/>
      <c r="AC27" s="15"/>
      <c r="AD27" s="16"/>
    </row>
    <row r="28" spans="2:35" ht="20.25" customHeight="1" x14ac:dyDescent="0.15">
      <c r="B28" s="349">
        <v>5</v>
      </c>
      <c r="C28" s="350"/>
      <c r="D28" s="351" t="str">
        <f>IF(メーカー加工場!$B$77=2,"",メーカー加工場!D116)</f>
        <v>PMZ-2001-2</v>
      </c>
      <c r="E28" s="352"/>
      <c r="F28" s="352"/>
      <c r="G28" s="353"/>
      <c r="H28" s="342" t="str">
        <f>IF(メーカー加工場!$B$77=2,"★別紙参照★",メーカー加工場!H116)</f>
        <v>ドライロングスリーブTシャツ(左or右袖ロゴ付き)</v>
      </c>
      <c r="I28" s="343"/>
      <c r="J28" s="343"/>
      <c r="K28" s="343"/>
      <c r="L28" s="343"/>
      <c r="M28" s="343"/>
      <c r="N28" s="343"/>
      <c r="O28" s="343"/>
      <c r="P28" s="343"/>
      <c r="Q28" s="343"/>
      <c r="R28" s="354"/>
      <c r="S28" s="342" t="str">
        <f>IF(メーカー加工場!$B$77=2,"",メーカー加工場!T116)</f>
        <v>右袖_本体BLK×ロゴRED</v>
      </c>
      <c r="T28" s="343"/>
      <c r="U28" s="343"/>
      <c r="V28" s="344"/>
      <c r="W28" s="345" t="str">
        <f>IF(メーカー加工場!Y116=0,"",IF(メーカー加工場!$B$77=2,"",メーカー加工場!Y116))</f>
        <v>3XL</v>
      </c>
      <c r="X28" s="346"/>
      <c r="Y28" s="20">
        <f>IF(メーカー加工場!$B$77=2,"",メーカー加工場!AA116)</f>
        <v>2</v>
      </c>
      <c r="Z28" s="15"/>
      <c r="AA28" s="15"/>
      <c r="AB28" s="15"/>
      <c r="AC28" s="15"/>
      <c r="AD28" s="16"/>
    </row>
    <row r="29" spans="2:35" ht="20.25" customHeight="1" x14ac:dyDescent="0.15">
      <c r="B29" s="349">
        <v>6</v>
      </c>
      <c r="C29" s="350"/>
      <c r="D29" s="351" t="str">
        <f>IF(メーカー加工場!$B$77=2,"",メーカー加工場!D117)</f>
        <v>PMZ-2001-3</v>
      </c>
      <c r="E29" s="352"/>
      <c r="F29" s="352"/>
      <c r="G29" s="353"/>
      <c r="H29" s="342" t="str">
        <f>IF(メーカー加工場!$B$77=2,"",メーカー加工場!H117)</f>
        <v>ドライロングスリーブTシャツ(背中襟下ロゴ付き)</v>
      </c>
      <c r="I29" s="343"/>
      <c r="J29" s="343"/>
      <c r="K29" s="343"/>
      <c r="L29" s="343"/>
      <c r="M29" s="343"/>
      <c r="N29" s="343"/>
      <c r="O29" s="343"/>
      <c r="P29" s="343"/>
      <c r="Q29" s="343"/>
      <c r="R29" s="354"/>
      <c r="S29" s="342" t="str">
        <f>IF(メーカー加工場!$B$77=2,"",メーカー加工場!T117)</f>
        <v>背中襟下_本体BLK×ロゴWHT</v>
      </c>
      <c r="T29" s="343"/>
      <c r="U29" s="343"/>
      <c r="V29" s="344"/>
      <c r="W29" s="345" t="str">
        <f>IF(メーカー加工場!Y117=0,"",IF(メーカー加工場!$B$77=2,"",メーカー加工場!Y117))</f>
        <v>M</v>
      </c>
      <c r="X29" s="346"/>
      <c r="Y29" s="20">
        <f>IF(メーカー加工場!$B$77=2,"",メーカー加工場!AA117)</f>
        <v>5</v>
      </c>
      <c r="Z29" s="15"/>
      <c r="AA29" s="15"/>
      <c r="AB29" s="15"/>
      <c r="AC29" s="15"/>
      <c r="AD29" s="16"/>
    </row>
    <row r="30" spans="2:35" ht="20.25" customHeight="1" x14ac:dyDescent="0.15">
      <c r="B30" s="349">
        <v>7</v>
      </c>
      <c r="C30" s="350"/>
      <c r="D30" s="351" t="str">
        <f>IF(メーカー加工場!$B$77=2,"",メーカー加工場!D118)</f>
        <v>PMZ-3001-1</v>
      </c>
      <c r="E30" s="352"/>
      <c r="F30" s="352"/>
      <c r="G30" s="353"/>
      <c r="H30" s="342" t="str">
        <f>IF(メーカー加工場!$B$77=2,"",メーカー加工場!H118)</f>
        <v>ボタンダウンポロシャツ(左or右胸ロゴ付き)</v>
      </c>
      <c r="I30" s="343"/>
      <c r="J30" s="343"/>
      <c r="K30" s="343"/>
      <c r="L30" s="343"/>
      <c r="M30" s="343"/>
      <c r="N30" s="343"/>
      <c r="O30" s="343"/>
      <c r="P30" s="343"/>
      <c r="Q30" s="343"/>
      <c r="R30" s="354"/>
      <c r="S30" s="342" t="str">
        <f>IF(メーカー加工場!$B$77=2,"",メーカー加工場!T118)</f>
        <v>左胸_本体YEL×ロゴYEL</v>
      </c>
      <c r="T30" s="343"/>
      <c r="U30" s="343"/>
      <c r="V30" s="344"/>
      <c r="W30" s="345" t="str">
        <f>IF(メーカー加工場!Y118=0,"",IF(メーカー加工場!$B$77=2,"",メーカー加工場!Y118))</f>
        <v>XL</v>
      </c>
      <c r="X30" s="346"/>
      <c r="Y30" s="20">
        <f>IF(メーカー加工場!$B$77=2,"",メーカー加工場!AA118)</f>
        <v>1</v>
      </c>
      <c r="Z30" s="15"/>
      <c r="AA30" s="15"/>
      <c r="AB30" s="15"/>
      <c r="AC30" s="15"/>
      <c r="AD30" s="16"/>
    </row>
    <row r="31" spans="2:35" ht="20.25" customHeight="1" x14ac:dyDescent="0.15">
      <c r="B31" s="349">
        <v>8</v>
      </c>
      <c r="C31" s="350"/>
      <c r="D31" s="351" t="str">
        <f>IF(メーカー加工場!$B$77=2,"",メーカー加工場!D119)</f>
        <v>PMZ-3001-2</v>
      </c>
      <c r="E31" s="352"/>
      <c r="F31" s="352"/>
      <c r="G31" s="353"/>
      <c r="H31" s="342" t="str">
        <f>IF(メーカー加工場!$B$77=2,"",メーカー加工場!H119)</f>
        <v>ボタンダウンポロシャツ(左or右袖ロゴ付き)</v>
      </c>
      <c r="I31" s="343"/>
      <c r="J31" s="343"/>
      <c r="K31" s="343"/>
      <c r="L31" s="343"/>
      <c r="M31" s="343"/>
      <c r="N31" s="343"/>
      <c r="O31" s="343"/>
      <c r="P31" s="343"/>
      <c r="Q31" s="343"/>
      <c r="R31" s="354"/>
      <c r="S31" s="342" t="str">
        <f>IF(メーカー加工場!$B$77=2,"",メーカー加工場!T119)</f>
        <v>右袖_本体BLK×ロゴORG</v>
      </c>
      <c r="T31" s="343"/>
      <c r="U31" s="343"/>
      <c r="V31" s="344"/>
      <c r="W31" s="345" t="str">
        <f>IF(メーカー加工場!Y119=0,"",IF(メーカー加工場!$B$77=2,"",メーカー加工場!Y119))</f>
        <v>S</v>
      </c>
      <c r="X31" s="346"/>
      <c r="Y31" s="20">
        <f>IF(メーカー加工場!$B$77=2,"",メーカー加工場!AA119)</f>
        <v>2</v>
      </c>
      <c r="Z31" s="15"/>
      <c r="AA31" s="15"/>
      <c r="AB31" s="15"/>
      <c r="AC31" s="15"/>
      <c r="AD31" s="16"/>
    </row>
    <row r="32" spans="2:35" ht="20.25" customHeight="1" x14ac:dyDescent="0.15">
      <c r="B32" s="349">
        <v>9</v>
      </c>
      <c r="C32" s="350"/>
      <c r="D32" s="351" t="str">
        <f>IF(メーカー加工場!$B$77=2,"",メーカー加工場!D120)</f>
        <v>PMZ-3001-3</v>
      </c>
      <c r="E32" s="352"/>
      <c r="F32" s="352"/>
      <c r="G32" s="353"/>
      <c r="H32" s="342" t="str">
        <f>IF(メーカー加工場!$B$77=2,"",メーカー加工場!H120)</f>
        <v>ボタンダウンポロシャツ(背中襟下ロゴ付き)</v>
      </c>
      <c r="I32" s="343"/>
      <c r="J32" s="343"/>
      <c r="K32" s="343"/>
      <c r="L32" s="343"/>
      <c r="M32" s="343"/>
      <c r="N32" s="343"/>
      <c r="O32" s="343"/>
      <c r="P32" s="343"/>
      <c r="Q32" s="343"/>
      <c r="R32" s="354"/>
      <c r="S32" s="342" t="str">
        <f>IF(メーカー加工場!$B$77=2,"",メーカー加工場!T120)</f>
        <v>背中襟下_本体NVY×ロゴHtPNK</v>
      </c>
      <c r="T32" s="343"/>
      <c r="U32" s="343"/>
      <c r="V32" s="344"/>
      <c r="W32" s="345" t="str">
        <f>IF(メーカー加工場!Y120=0,"",IF(メーカー加工場!$B$77=2,"",メーカー加工場!Y120))</f>
        <v>XS</v>
      </c>
      <c r="X32" s="346"/>
      <c r="Y32" s="20">
        <f>IF(メーカー加工場!$B$77=2,"",メーカー加工場!AA120)</f>
        <v>3</v>
      </c>
      <c r="Z32" s="15"/>
      <c r="AA32" s="15"/>
      <c r="AB32" s="15"/>
      <c r="AC32" s="15"/>
      <c r="AD32" s="16"/>
    </row>
    <row r="33" spans="2:30" ht="21" customHeight="1" x14ac:dyDescent="0.15">
      <c r="B33" s="349">
        <v>10</v>
      </c>
      <c r="C33" s="350"/>
      <c r="D33" s="351" t="str">
        <f>IF(メーカー加工場!$B$77=2,"",メーカー加工場!D121)</f>
        <v/>
      </c>
      <c r="E33" s="352"/>
      <c r="F33" s="352"/>
      <c r="G33" s="353"/>
      <c r="H33" s="342" t="str">
        <f>IF(メーカー加工場!$B$77=2,"",メーカー加工場!H121)</f>
        <v/>
      </c>
      <c r="I33" s="343"/>
      <c r="J33" s="343"/>
      <c r="K33" s="343"/>
      <c r="L33" s="343"/>
      <c r="M33" s="343"/>
      <c r="N33" s="343"/>
      <c r="O33" s="343"/>
      <c r="P33" s="343"/>
      <c r="Q33" s="343"/>
      <c r="R33" s="354"/>
      <c r="S33" s="342" t="str">
        <f>IF(メーカー加工場!$B$77=2,"",メーカー加工場!T121)</f>
        <v/>
      </c>
      <c r="T33" s="343"/>
      <c r="U33" s="343"/>
      <c r="V33" s="344"/>
      <c r="W33" s="345" t="str">
        <f>IF(メーカー加工場!Y121=0,"",IF(メーカー加工場!$B$77=2,"",メーカー加工場!Y121))</f>
        <v/>
      </c>
      <c r="X33" s="346"/>
      <c r="Y33" s="20" t="str">
        <f>IF(メーカー加工場!$B$77=2,"",メーカー加工場!AA121)</f>
        <v/>
      </c>
      <c r="Z33" s="15"/>
      <c r="AA33" s="15"/>
      <c r="AB33" s="15"/>
      <c r="AC33" s="15"/>
      <c r="AD33" s="16"/>
    </row>
    <row r="34" spans="2:30" ht="21" customHeight="1" x14ac:dyDescent="0.15">
      <c r="B34" s="349">
        <v>11</v>
      </c>
      <c r="C34" s="350"/>
      <c r="D34" s="351" t="str">
        <f>IF(メーカー加工場!$B$77=2,"",メーカー加工場!D122)</f>
        <v/>
      </c>
      <c r="E34" s="352"/>
      <c r="F34" s="352"/>
      <c r="G34" s="353"/>
      <c r="H34" s="342" t="str">
        <f>IF(メーカー加工場!$B$77=2,"",メーカー加工場!H122)</f>
        <v/>
      </c>
      <c r="I34" s="343"/>
      <c r="J34" s="343"/>
      <c r="K34" s="343"/>
      <c r="L34" s="343"/>
      <c r="M34" s="343"/>
      <c r="N34" s="343"/>
      <c r="O34" s="343"/>
      <c r="P34" s="343"/>
      <c r="Q34" s="343"/>
      <c r="R34" s="354"/>
      <c r="S34" s="342" t="str">
        <f>IF(メーカー加工場!$B$77=2,"",メーカー加工場!T122)</f>
        <v/>
      </c>
      <c r="T34" s="343"/>
      <c r="U34" s="343"/>
      <c r="V34" s="344"/>
      <c r="W34" s="345" t="str">
        <f>IF(メーカー加工場!Y122=0,"",IF(メーカー加工場!$B$77=2,"",メーカー加工場!Y122))</f>
        <v/>
      </c>
      <c r="X34" s="346"/>
      <c r="Y34" s="20" t="str">
        <f>IF(メーカー加工場!$B$77=2,"",メーカー加工場!AA122)</f>
        <v/>
      </c>
      <c r="Z34" s="15"/>
      <c r="AA34" s="15"/>
      <c r="AB34" s="15"/>
      <c r="AC34" s="15"/>
      <c r="AD34" s="16"/>
    </row>
    <row r="35" spans="2:30" ht="21" customHeight="1" x14ac:dyDescent="0.15">
      <c r="B35" s="349">
        <v>12</v>
      </c>
      <c r="C35" s="350"/>
      <c r="D35" s="351" t="str">
        <f>IF(メーカー加工場!$B$77=2,"",メーカー加工場!D123)</f>
        <v/>
      </c>
      <c r="E35" s="352"/>
      <c r="F35" s="352"/>
      <c r="G35" s="353"/>
      <c r="H35" s="342" t="str">
        <f>IF(メーカー加工場!$B$77=2,"",メーカー加工場!H123)</f>
        <v/>
      </c>
      <c r="I35" s="343"/>
      <c r="J35" s="343"/>
      <c r="K35" s="343"/>
      <c r="L35" s="343"/>
      <c r="M35" s="343"/>
      <c r="N35" s="343"/>
      <c r="O35" s="343"/>
      <c r="P35" s="343"/>
      <c r="Q35" s="343"/>
      <c r="R35" s="354"/>
      <c r="S35" s="342" t="str">
        <f>IF(メーカー加工場!$B$77=2,"",メーカー加工場!T123)</f>
        <v/>
      </c>
      <c r="T35" s="343"/>
      <c r="U35" s="343"/>
      <c r="V35" s="344"/>
      <c r="W35" s="345" t="str">
        <f>IF(メーカー加工場!Y123=0,"",IF(メーカー加工場!$B$77=2,"",メーカー加工場!Y123))</f>
        <v/>
      </c>
      <c r="X35" s="346"/>
      <c r="Y35" s="20" t="str">
        <f>IF(メーカー加工場!$B$77=2,"",メーカー加工場!AA123)</f>
        <v/>
      </c>
      <c r="Z35" s="15"/>
      <c r="AA35" s="15"/>
      <c r="AB35" s="15"/>
      <c r="AC35" s="15"/>
      <c r="AD35" s="16"/>
    </row>
    <row r="36" spans="2:30" ht="21" customHeight="1" x14ac:dyDescent="0.15">
      <c r="B36" s="349">
        <v>13</v>
      </c>
      <c r="C36" s="350"/>
      <c r="D36" s="351" t="str">
        <f>IF(メーカー加工場!$B$77=2,"",メーカー加工場!D124)</f>
        <v/>
      </c>
      <c r="E36" s="352"/>
      <c r="F36" s="352"/>
      <c r="G36" s="353"/>
      <c r="H36" s="342" t="str">
        <f>IF(メーカー加工場!$B$77=2,"",メーカー加工場!H124)</f>
        <v/>
      </c>
      <c r="I36" s="343"/>
      <c r="J36" s="343"/>
      <c r="K36" s="343"/>
      <c r="L36" s="343"/>
      <c r="M36" s="343"/>
      <c r="N36" s="343"/>
      <c r="O36" s="343"/>
      <c r="P36" s="343"/>
      <c r="Q36" s="343"/>
      <c r="R36" s="354"/>
      <c r="S36" s="342" t="str">
        <f>IF(メーカー加工場!$B$77=2,"",メーカー加工場!T124)</f>
        <v/>
      </c>
      <c r="T36" s="343"/>
      <c r="U36" s="343"/>
      <c r="V36" s="344"/>
      <c r="W36" s="345" t="str">
        <f>IF(メーカー加工場!Y124=0,"",IF(メーカー加工場!$B$77=2,"",メーカー加工場!Y124))</f>
        <v/>
      </c>
      <c r="X36" s="346"/>
      <c r="Y36" s="20" t="str">
        <f>IF(メーカー加工場!$B$77=2,"",メーカー加工場!AA124)</f>
        <v/>
      </c>
      <c r="Z36" s="15"/>
      <c r="AA36" s="15"/>
      <c r="AB36" s="15"/>
      <c r="AC36" s="15"/>
      <c r="AD36" s="16"/>
    </row>
    <row r="37" spans="2:30" ht="21" customHeight="1" x14ac:dyDescent="0.15">
      <c r="B37" s="349">
        <v>14</v>
      </c>
      <c r="C37" s="350"/>
      <c r="D37" s="351" t="str">
        <f>IF(メーカー加工場!$B$77=2,"",メーカー加工場!D125)</f>
        <v/>
      </c>
      <c r="E37" s="352"/>
      <c r="F37" s="352"/>
      <c r="G37" s="353"/>
      <c r="H37" s="342" t="str">
        <f>IF(メーカー加工場!$B$77=2,"",メーカー加工場!H125)</f>
        <v/>
      </c>
      <c r="I37" s="343"/>
      <c r="J37" s="343"/>
      <c r="K37" s="343"/>
      <c r="L37" s="343"/>
      <c r="M37" s="343"/>
      <c r="N37" s="343"/>
      <c r="O37" s="343"/>
      <c r="P37" s="343"/>
      <c r="Q37" s="343"/>
      <c r="R37" s="354"/>
      <c r="S37" s="342" t="str">
        <f>IF(メーカー加工場!$B$77=2,"",メーカー加工場!T125)</f>
        <v/>
      </c>
      <c r="T37" s="343"/>
      <c r="U37" s="343"/>
      <c r="V37" s="344"/>
      <c r="W37" s="345" t="str">
        <f>IF(メーカー加工場!Y125=0,"",IF(メーカー加工場!$B$77=2,"",メーカー加工場!Y125))</f>
        <v/>
      </c>
      <c r="X37" s="346"/>
      <c r="Y37" s="20" t="str">
        <f>IF(メーカー加工場!$B$77=2,"",メーカー加工場!AA125)</f>
        <v/>
      </c>
      <c r="Z37" s="15"/>
      <c r="AA37" s="15"/>
      <c r="AB37" s="15"/>
      <c r="AC37" s="15"/>
      <c r="AD37" s="16"/>
    </row>
    <row r="38" spans="2:30" ht="21" customHeight="1" thickBot="1" x14ac:dyDescent="0.2">
      <c r="B38" s="492">
        <v>15</v>
      </c>
      <c r="C38" s="493"/>
      <c r="D38" s="372" t="str">
        <f>IF(メーカー加工場!$B$77=2,"",メーカー加工場!D126)</f>
        <v/>
      </c>
      <c r="E38" s="373"/>
      <c r="F38" s="373"/>
      <c r="G38" s="374"/>
      <c r="H38" s="375" t="str">
        <f>IF(メーカー加工場!$B$77=2,"",メーカー加工場!H126)</f>
        <v/>
      </c>
      <c r="I38" s="376"/>
      <c r="J38" s="376"/>
      <c r="K38" s="376"/>
      <c r="L38" s="376"/>
      <c r="M38" s="376"/>
      <c r="N38" s="376"/>
      <c r="O38" s="376"/>
      <c r="P38" s="376"/>
      <c r="Q38" s="376"/>
      <c r="R38" s="377"/>
      <c r="S38" s="375" t="str">
        <f>IF(メーカー加工場!$B$77=2,"",メーカー加工場!T126)</f>
        <v/>
      </c>
      <c r="T38" s="376"/>
      <c r="U38" s="376"/>
      <c r="V38" s="380"/>
      <c r="W38" s="381" t="str">
        <f>IF(メーカー加工場!Y126=0,"",IF(メーカー加工場!$B$77=2,"",メーカー加工場!Y126))</f>
        <v/>
      </c>
      <c r="X38" s="382"/>
      <c r="Y38" s="21" t="str">
        <f>IF(メーカー加工場!$B$77=2,"",メーカー加工場!AA126)</f>
        <v/>
      </c>
      <c r="Z38" s="15"/>
      <c r="AA38" s="15"/>
      <c r="AB38" s="15"/>
      <c r="AC38" s="15"/>
      <c r="AD38" s="16"/>
    </row>
    <row r="39" spans="2:30" ht="4.5" customHeight="1" thickBot="1" x14ac:dyDescent="0.25">
      <c r="B39" s="15"/>
      <c r="C39" s="15"/>
      <c r="D39" s="15"/>
      <c r="E39" s="15"/>
      <c r="F39" s="15"/>
      <c r="G39" s="15"/>
      <c r="H39" s="15"/>
      <c r="I39" s="15"/>
      <c r="J39" s="15"/>
      <c r="K39" s="15"/>
      <c r="L39" s="15"/>
      <c r="M39" s="15"/>
      <c r="N39" s="15"/>
      <c r="O39" s="15"/>
      <c r="P39" s="15"/>
      <c r="Q39" s="15"/>
      <c r="R39" s="15"/>
      <c r="S39" s="15"/>
      <c r="T39" s="15"/>
      <c r="U39" s="15"/>
      <c r="V39" s="15"/>
      <c r="W39" s="15"/>
      <c r="X39" s="15"/>
      <c r="Y39" s="15"/>
      <c r="Z39" s="15"/>
      <c r="AA39" s="15"/>
      <c r="AB39" s="15"/>
      <c r="AC39" s="15"/>
      <c r="AD39" s="15"/>
    </row>
    <row r="40" spans="2:30" ht="18" customHeight="1" thickTop="1" x14ac:dyDescent="0.2">
      <c r="B40" s="355" t="s">
        <v>352</v>
      </c>
      <c r="C40" s="356"/>
      <c r="D40" s="356"/>
      <c r="E40" s="356"/>
      <c r="F40" s="356"/>
      <c r="G40" s="356"/>
      <c r="H40" s="483" t="s">
        <v>353</v>
      </c>
      <c r="I40" s="484"/>
      <c r="J40" s="484"/>
      <c r="K40" s="484"/>
      <c r="L40" s="484"/>
      <c r="M40" s="484"/>
      <c r="N40" s="484"/>
      <c r="O40" s="484"/>
      <c r="P40" s="484"/>
      <c r="Q40" s="484"/>
      <c r="R40" s="484"/>
      <c r="S40" s="484"/>
      <c r="T40" s="484"/>
      <c r="U40" s="484"/>
      <c r="V40" s="484"/>
      <c r="W40" s="484"/>
      <c r="X40" s="484"/>
      <c r="Y40" s="484"/>
      <c r="Z40" s="484"/>
      <c r="AA40" s="484"/>
      <c r="AB40" s="484"/>
      <c r="AC40" s="484"/>
      <c r="AD40" s="485"/>
    </row>
    <row r="41" spans="2:30" ht="18" customHeight="1" thickBot="1" x14ac:dyDescent="0.25">
      <c r="B41" s="357"/>
      <c r="C41" s="358"/>
      <c r="D41" s="358"/>
      <c r="E41" s="358"/>
      <c r="F41" s="358"/>
      <c r="G41" s="358"/>
      <c r="H41" s="486" t="s">
        <v>406</v>
      </c>
      <c r="I41" s="487"/>
      <c r="J41" s="487"/>
      <c r="K41" s="487"/>
      <c r="L41" s="487"/>
      <c r="M41" s="487"/>
      <c r="N41" s="494" t="str">
        <f>IF(I18="","",I18)</f>
        <v/>
      </c>
      <c r="O41" s="495"/>
      <c r="P41" s="495"/>
      <c r="Q41" s="495"/>
      <c r="R41" s="34" t="s">
        <v>407</v>
      </c>
      <c r="S41" s="490"/>
      <c r="T41" s="490"/>
      <c r="U41" s="490"/>
      <c r="V41" s="491" t="s">
        <v>408</v>
      </c>
      <c r="W41" s="491"/>
      <c r="X41" s="34"/>
      <c r="Y41" s="34"/>
      <c r="Z41" s="34"/>
      <c r="AA41" s="34"/>
      <c r="AB41" s="34"/>
      <c r="AC41" s="34"/>
      <c r="AD41" s="35"/>
    </row>
    <row r="42" spans="2:30" ht="4.5" customHeight="1" thickTop="1" x14ac:dyDescent="0.2"/>
  </sheetData>
  <mergeCells count="133">
    <mergeCell ref="B40:G41"/>
    <mergeCell ref="H40:L40"/>
    <mergeCell ref="B13:G17"/>
    <mergeCell ref="H17:AD17"/>
    <mergeCell ref="B18:G20"/>
    <mergeCell ref="W21:AA21"/>
    <mergeCell ref="H26:R26"/>
    <mergeCell ref="I18:O19"/>
    <mergeCell ref="Y18:AD19"/>
    <mergeCell ref="M40:AD40"/>
    <mergeCell ref="B32:C32"/>
    <mergeCell ref="D32:G32"/>
    <mergeCell ref="H32:R32"/>
    <mergeCell ref="S32:V32"/>
    <mergeCell ref="W35:X35"/>
    <mergeCell ref="W32:X32"/>
    <mergeCell ref="S23:X23"/>
    <mergeCell ref="P18:T18"/>
    <mergeCell ref="W29:X29"/>
    <mergeCell ref="W30:X30"/>
    <mergeCell ref="H15:AD15"/>
    <mergeCell ref="H16:AD16"/>
    <mergeCell ref="U18:X19"/>
    <mergeCell ref="AA23:AD23"/>
    <mergeCell ref="S26:V26"/>
    <mergeCell ref="B27:C27"/>
    <mergeCell ref="AG17:AI17"/>
    <mergeCell ref="W24:X24"/>
    <mergeCell ref="W25:X25"/>
    <mergeCell ref="O21:S21"/>
    <mergeCell ref="H21:N21"/>
    <mergeCell ref="S24:V24"/>
    <mergeCell ref="B29:C29"/>
    <mergeCell ref="T21:V21"/>
    <mergeCell ref="AB21:AD21"/>
    <mergeCell ref="B21:G21"/>
    <mergeCell ref="B25:C25"/>
    <mergeCell ref="B24:C24"/>
    <mergeCell ref="D24:G24"/>
    <mergeCell ref="B23:G23"/>
    <mergeCell ref="D25:G25"/>
    <mergeCell ref="B38:C38"/>
    <mergeCell ref="D38:G38"/>
    <mergeCell ref="H38:R38"/>
    <mergeCell ref="B30:C30"/>
    <mergeCell ref="D30:G30"/>
    <mergeCell ref="H30:R30"/>
    <mergeCell ref="B28:C28"/>
    <mergeCell ref="D26:G26"/>
    <mergeCell ref="B35:C35"/>
    <mergeCell ref="D27:G27"/>
    <mergeCell ref="H27:R27"/>
    <mergeCell ref="D28:G28"/>
    <mergeCell ref="H28:R28"/>
    <mergeCell ref="B26:C26"/>
    <mergeCell ref="D29:G29"/>
    <mergeCell ref="D31:G31"/>
    <mergeCell ref="H29:R29"/>
    <mergeCell ref="D35:G35"/>
    <mergeCell ref="D34:G34"/>
    <mergeCell ref="H34:R34"/>
    <mergeCell ref="H31:R31"/>
    <mergeCell ref="H35:R35"/>
    <mergeCell ref="B31:C31"/>
    <mergeCell ref="B37:C37"/>
    <mergeCell ref="C1:Q1"/>
    <mergeCell ref="R1:AD1"/>
    <mergeCell ref="Y4:AD4"/>
    <mergeCell ref="O4:U4"/>
    <mergeCell ref="L4:N4"/>
    <mergeCell ref="G4:J4"/>
    <mergeCell ref="L3:N3"/>
    <mergeCell ref="G3:J3"/>
    <mergeCell ref="B3:F3"/>
    <mergeCell ref="B4:F4"/>
    <mergeCell ref="V3:X3"/>
    <mergeCell ref="Y3:AD3"/>
    <mergeCell ref="O3:U3"/>
    <mergeCell ref="G8:J8"/>
    <mergeCell ref="B8:F8"/>
    <mergeCell ref="L6:AD6"/>
    <mergeCell ref="G5:J6"/>
    <mergeCell ref="B5:F6"/>
    <mergeCell ref="V4:X4"/>
    <mergeCell ref="G7:J7"/>
    <mergeCell ref="B7:F7"/>
    <mergeCell ref="L7:AD7"/>
    <mergeCell ref="L8:AD9"/>
    <mergeCell ref="L10:AD10"/>
    <mergeCell ref="G9:J10"/>
    <mergeCell ref="B9:F10"/>
    <mergeCell ref="B11:AD11"/>
    <mergeCell ref="S25:V25"/>
    <mergeCell ref="P19:T19"/>
    <mergeCell ref="H20:AD20"/>
    <mergeCell ref="B36:C36"/>
    <mergeCell ref="H13:AD13"/>
    <mergeCell ref="H14:AD14"/>
    <mergeCell ref="W31:X31"/>
    <mergeCell ref="W26:X26"/>
    <mergeCell ref="S27:V27"/>
    <mergeCell ref="W27:X27"/>
    <mergeCell ref="S28:V28"/>
    <mergeCell ref="W28:X28"/>
    <mergeCell ref="H23:R23"/>
    <mergeCell ref="H25:R25"/>
    <mergeCell ref="H24:R24"/>
    <mergeCell ref="S30:V30"/>
    <mergeCell ref="S34:V34"/>
    <mergeCell ref="S31:V31"/>
    <mergeCell ref="S35:V35"/>
    <mergeCell ref="S29:V29"/>
    <mergeCell ref="D37:G37"/>
    <mergeCell ref="W34:X34"/>
    <mergeCell ref="B33:C33"/>
    <mergeCell ref="D33:G33"/>
    <mergeCell ref="H33:R33"/>
    <mergeCell ref="S33:V33"/>
    <mergeCell ref="W33:X33"/>
    <mergeCell ref="B34:C34"/>
    <mergeCell ref="D36:G36"/>
    <mergeCell ref="H36:R36"/>
    <mergeCell ref="S36:V36"/>
    <mergeCell ref="W38:X38"/>
    <mergeCell ref="S38:V38"/>
    <mergeCell ref="W36:X36"/>
    <mergeCell ref="H41:M41"/>
    <mergeCell ref="N41:Q41"/>
    <mergeCell ref="S41:U41"/>
    <mergeCell ref="V41:W41"/>
    <mergeCell ref="W37:X37"/>
    <mergeCell ref="H37:R37"/>
    <mergeCell ref="S37:V37"/>
  </mergeCells>
  <phoneticPr fontId="6"/>
  <pageMargins left="0.43307086614173229" right="0.43307086614173229" top="0.47244094488188981" bottom="0.47244094488188981" header="0.31496062992125984" footer="0.31496062992125984"/>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tabColor rgb="FFCCFFFF"/>
  </sheetPr>
  <dimension ref="B1:AK42"/>
  <sheetViews>
    <sheetView view="pageBreakPreview" topLeftCell="A4" zoomScale="90" zoomScaleNormal="100" zoomScaleSheetLayoutView="90" workbookViewId="0">
      <selection activeCell="H30" sqref="H30:R30"/>
    </sheetView>
  </sheetViews>
  <sheetFormatPr defaultRowHeight="13.2" x14ac:dyDescent="0.2"/>
  <cols>
    <col min="1" max="1" width="0.44140625" customWidth="1"/>
    <col min="2" max="2" width="1.88671875" customWidth="1"/>
    <col min="3" max="3" width="1.21875" customWidth="1"/>
    <col min="4" max="4" width="3.33203125" customWidth="1"/>
    <col min="5" max="5" width="5" customWidth="1"/>
    <col min="6" max="6" width="2.109375" customWidth="1"/>
    <col min="7" max="7" width="3" customWidth="1"/>
    <col min="8" max="8" width="1" customWidth="1"/>
    <col min="9" max="9" width="4.44140625" customWidth="1"/>
    <col min="10" max="10" width="5.21875" customWidth="1"/>
    <col min="11" max="11" width="1.21875" customWidth="1"/>
    <col min="12" max="12" width="4.6640625" customWidth="1"/>
    <col min="13" max="13" width="2.6640625" customWidth="1"/>
    <col min="14" max="14" width="3.21875" customWidth="1"/>
    <col min="15" max="15" width="2.44140625" customWidth="1"/>
    <col min="16" max="16" width="2.6640625" customWidth="1"/>
    <col min="17" max="17" width="5.44140625" customWidth="1"/>
    <col min="18" max="18" width="4.109375" customWidth="1"/>
    <col min="19" max="19" width="4.33203125" customWidth="1"/>
    <col min="20" max="20" width="4.21875" customWidth="1"/>
    <col min="21" max="21" width="4.44140625" customWidth="1"/>
    <col min="22" max="22" width="5" customWidth="1"/>
    <col min="23" max="23" width="2.44140625" customWidth="1"/>
    <col min="24" max="24" width="3.109375" customWidth="1"/>
    <col min="25" max="25" width="6.44140625" customWidth="1"/>
    <col min="26" max="26" width="1.109375" customWidth="1"/>
    <col min="27" max="28" width="3" customWidth="1"/>
    <col min="29" max="29" width="2.21875" customWidth="1"/>
    <col min="30" max="30" width="1.44140625" customWidth="1"/>
    <col min="31" max="31" width="0.44140625" customWidth="1"/>
    <col min="32" max="34" width="2.109375" customWidth="1"/>
    <col min="35" max="35" width="6.6640625" customWidth="1"/>
    <col min="36" max="36" width="7.44140625" customWidth="1"/>
    <col min="40" max="40" width="9.77734375" customWidth="1"/>
    <col min="41" max="41" width="77.109375" customWidth="1"/>
    <col min="42" max="42" width="15" customWidth="1"/>
  </cols>
  <sheetData>
    <row r="1" spans="2:34" ht="33.75" customHeight="1" x14ac:dyDescent="0.2">
      <c r="B1" s="3" t="s">
        <v>1892</v>
      </c>
      <c r="C1" s="187" t="s">
        <v>3523</v>
      </c>
      <c r="D1" s="187"/>
      <c r="E1" s="187"/>
      <c r="F1" s="187"/>
      <c r="G1" s="187"/>
      <c r="H1" s="187"/>
      <c r="I1" s="187"/>
      <c r="J1" s="187"/>
      <c r="K1" s="187"/>
      <c r="L1" s="187"/>
      <c r="M1" s="187"/>
      <c r="N1" s="187"/>
      <c r="O1" s="187"/>
      <c r="P1" s="187"/>
      <c r="Q1" s="187"/>
      <c r="R1" s="403" t="s">
        <v>368</v>
      </c>
      <c r="S1" s="403"/>
      <c r="T1" s="403"/>
      <c r="U1" s="403"/>
      <c r="V1" s="403"/>
      <c r="W1" s="403"/>
      <c r="X1" s="403"/>
      <c r="Y1" s="403"/>
      <c r="Z1" s="403"/>
      <c r="AA1" s="403"/>
      <c r="AB1" s="403"/>
      <c r="AC1" s="403"/>
      <c r="AD1" s="403"/>
      <c r="AH1" s="47" t="s">
        <v>1852</v>
      </c>
    </row>
    <row r="2" spans="2:34" ht="3.75" customHeight="1" thickBot="1" x14ac:dyDescent="0.25">
      <c r="B2" s="3"/>
      <c r="C2" s="4"/>
      <c r="D2" s="4"/>
      <c r="E2" s="4"/>
      <c r="F2" s="4"/>
      <c r="G2" s="4"/>
      <c r="H2" s="4"/>
      <c r="I2" s="4"/>
      <c r="J2" s="4"/>
      <c r="K2" s="4"/>
      <c r="L2" s="4"/>
      <c r="M2" s="4"/>
      <c r="N2" s="4"/>
      <c r="O2" s="4"/>
      <c r="P2" s="4"/>
      <c r="Q2" s="4"/>
      <c r="R2" s="5"/>
      <c r="S2" s="5"/>
      <c r="T2" s="5"/>
      <c r="U2" s="5"/>
      <c r="V2" s="5"/>
      <c r="W2" s="5"/>
      <c r="X2" s="5"/>
      <c r="Y2" s="5"/>
      <c r="Z2" s="5"/>
      <c r="AA2" s="5"/>
      <c r="AB2" s="5"/>
      <c r="AC2" s="5"/>
      <c r="AD2" s="5"/>
    </row>
    <row r="3" spans="2:34" ht="30" customHeight="1" x14ac:dyDescent="0.2">
      <c r="B3" s="189" t="s">
        <v>325</v>
      </c>
      <c r="C3" s="190"/>
      <c r="D3" s="190"/>
      <c r="E3" s="190"/>
      <c r="F3" s="191"/>
      <c r="G3" s="192" t="s">
        <v>326</v>
      </c>
      <c r="H3" s="190"/>
      <c r="I3" s="190"/>
      <c r="J3" s="193"/>
      <c r="K3" s="6"/>
      <c r="L3" s="194" t="s">
        <v>327</v>
      </c>
      <c r="M3" s="195"/>
      <c r="N3" s="196"/>
      <c r="O3" s="427" t="s">
        <v>1893</v>
      </c>
      <c r="P3" s="428"/>
      <c r="Q3" s="428"/>
      <c r="R3" s="428"/>
      <c r="S3" s="428"/>
      <c r="T3" s="428"/>
      <c r="U3" s="429"/>
      <c r="V3" s="200" t="s">
        <v>328</v>
      </c>
      <c r="W3" s="201"/>
      <c r="X3" s="202"/>
      <c r="Y3" s="430" t="s">
        <v>3652</v>
      </c>
      <c r="Z3" s="431"/>
      <c r="AA3" s="431"/>
      <c r="AB3" s="431"/>
      <c r="AC3" s="431"/>
      <c r="AD3" s="432"/>
      <c r="AG3" t="s">
        <v>3467</v>
      </c>
    </row>
    <row r="4" spans="2:34" ht="25.5" customHeight="1" thickBot="1" x14ac:dyDescent="0.25">
      <c r="B4" s="213" t="s">
        <v>329</v>
      </c>
      <c r="C4" s="214"/>
      <c r="D4" s="214"/>
      <c r="E4" s="214"/>
      <c r="F4" s="215"/>
      <c r="G4" s="237">
        <f ca="1">TODAY()</f>
        <v>45831</v>
      </c>
      <c r="H4" s="238"/>
      <c r="I4" s="238"/>
      <c r="J4" s="239"/>
      <c r="K4" s="7"/>
      <c r="L4" s="219" t="s">
        <v>1894</v>
      </c>
      <c r="M4" s="220"/>
      <c r="N4" s="221"/>
      <c r="O4" s="222"/>
      <c r="P4" s="223"/>
      <c r="Q4" s="223"/>
      <c r="R4" s="223"/>
      <c r="S4" s="223"/>
      <c r="T4" s="223"/>
      <c r="U4" s="224"/>
      <c r="V4" s="207" t="s">
        <v>331</v>
      </c>
      <c r="W4" s="208"/>
      <c r="X4" s="209"/>
      <c r="Y4" s="210"/>
      <c r="Z4" s="211"/>
      <c r="AA4" s="211"/>
      <c r="AB4" s="211"/>
      <c r="AC4" s="211"/>
      <c r="AD4" s="212"/>
      <c r="AG4" t="s">
        <v>3469</v>
      </c>
    </row>
    <row r="5" spans="2:34" ht="6" customHeight="1" x14ac:dyDescent="0.2">
      <c r="B5" s="213" t="s">
        <v>1895</v>
      </c>
      <c r="C5" s="214"/>
      <c r="D5" s="214"/>
      <c r="E5" s="214"/>
      <c r="F5" s="215"/>
      <c r="G5" s="237"/>
      <c r="H5" s="238"/>
      <c r="I5" s="238"/>
      <c r="J5" s="239"/>
      <c r="K5" s="7"/>
      <c r="L5" s="8"/>
      <c r="M5" s="8"/>
      <c r="N5" s="8"/>
      <c r="O5" s="8"/>
      <c r="P5" s="9"/>
      <c r="Q5" s="9"/>
      <c r="R5" s="9"/>
      <c r="S5" s="9"/>
      <c r="T5" s="9"/>
      <c r="U5" s="9"/>
      <c r="V5" s="10"/>
      <c r="W5" s="10"/>
      <c r="X5" s="10"/>
      <c r="Y5" s="11"/>
      <c r="Z5" s="11"/>
      <c r="AA5" s="11"/>
      <c r="AB5" s="11"/>
      <c r="AC5" s="11"/>
      <c r="AD5" s="11"/>
      <c r="AG5" t="s">
        <v>3470</v>
      </c>
    </row>
    <row r="6" spans="2:34" ht="21" customHeight="1" x14ac:dyDescent="0.2">
      <c r="B6" s="234"/>
      <c r="C6" s="235"/>
      <c r="D6" s="235"/>
      <c r="E6" s="235"/>
      <c r="F6" s="236"/>
      <c r="G6" s="240"/>
      <c r="H6" s="241"/>
      <c r="I6" s="241"/>
      <c r="J6" s="242"/>
      <c r="K6" s="7"/>
      <c r="L6" s="243" t="s">
        <v>333</v>
      </c>
      <c r="M6" s="244"/>
      <c r="N6" s="244"/>
      <c r="O6" s="244"/>
      <c r="P6" s="244"/>
      <c r="Q6" s="244"/>
      <c r="R6" s="244"/>
      <c r="S6" s="244"/>
      <c r="T6" s="244"/>
      <c r="U6" s="244"/>
      <c r="V6" s="244"/>
      <c r="W6" s="244"/>
      <c r="X6" s="244"/>
      <c r="Y6" s="244"/>
      <c r="Z6" s="244"/>
      <c r="AA6" s="244"/>
      <c r="AB6" s="244"/>
      <c r="AC6" s="244"/>
      <c r="AD6" s="245"/>
      <c r="AG6" t="s">
        <v>3472</v>
      </c>
    </row>
    <row r="7" spans="2:34" ht="25.5" customHeight="1" x14ac:dyDescent="0.2">
      <c r="B7" s="246" t="s">
        <v>334</v>
      </c>
      <c r="C7" s="247"/>
      <c r="D7" s="247"/>
      <c r="E7" s="247"/>
      <c r="F7" s="248"/>
      <c r="G7" s="249"/>
      <c r="H7" s="250"/>
      <c r="I7" s="250"/>
      <c r="J7" s="251"/>
      <c r="K7" s="7"/>
      <c r="L7" s="504"/>
      <c r="M7" s="505"/>
      <c r="N7" s="505"/>
      <c r="O7" s="505"/>
      <c r="P7" s="505"/>
      <c r="Q7" s="505"/>
      <c r="R7" s="505"/>
      <c r="S7" s="505"/>
      <c r="T7" s="505"/>
      <c r="U7" s="505"/>
      <c r="V7" s="505"/>
      <c r="W7" s="505"/>
      <c r="X7" s="505"/>
      <c r="Y7" s="505"/>
      <c r="Z7" s="505"/>
      <c r="AA7" s="505"/>
      <c r="AB7" s="505"/>
      <c r="AC7" s="505"/>
      <c r="AD7" s="506"/>
      <c r="AG7" t="s">
        <v>3473</v>
      </c>
    </row>
    <row r="8" spans="2:34" ht="25.5" customHeight="1" x14ac:dyDescent="0.2">
      <c r="B8" s="246" t="s">
        <v>1896</v>
      </c>
      <c r="C8" s="247"/>
      <c r="D8" s="247"/>
      <c r="E8" s="247"/>
      <c r="F8" s="248"/>
      <c r="G8" s="252"/>
      <c r="H8" s="253"/>
      <c r="I8" s="253"/>
      <c r="J8" s="254"/>
      <c r="K8" s="7"/>
      <c r="L8" s="504"/>
      <c r="M8" s="505"/>
      <c r="N8" s="505"/>
      <c r="O8" s="505"/>
      <c r="P8" s="505"/>
      <c r="Q8" s="505"/>
      <c r="R8" s="505"/>
      <c r="S8" s="505"/>
      <c r="T8" s="505"/>
      <c r="U8" s="505"/>
      <c r="V8" s="505"/>
      <c r="W8" s="505"/>
      <c r="X8" s="505"/>
      <c r="Y8" s="505"/>
      <c r="Z8" s="505"/>
      <c r="AA8" s="505"/>
      <c r="AB8" s="505"/>
      <c r="AC8" s="505"/>
      <c r="AD8" s="506"/>
      <c r="AG8" t="s">
        <v>3476</v>
      </c>
    </row>
    <row r="9" spans="2:34" ht="10.5" customHeight="1" x14ac:dyDescent="0.2">
      <c r="B9" s="255" t="s">
        <v>336</v>
      </c>
      <c r="C9" s="256"/>
      <c r="D9" s="256"/>
      <c r="E9" s="256"/>
      <c r="F9" s="257"/>
      <c r="G9" s="261"/>
      <c r="H9" s="262"/>
      <c r="I9" s="262"/>
      <c r="J9" s="263"/>
      <c r="K9" s="7"/>
      <c r="L9" s="504"/>
      <c r="M9" s="505"/>
      <c r="N9" s="505"/>
      <c r="O9" s="505"/>
      <c r="P9" s="505"/>
      <c r="Q9" s="505"/>
      <c r="R9" s="505"/>
      <c r="S9" s="505"/>
      <c r="T9" s="505"/>
      <c r="U9" s="505"/>
      <c r="V9" s="505"/>
      <c r="W9" s="505"/>
      <c r="X9" s="505"/>
      <c r="Y9" s="505"/>
      <c r="Z9" s="505"/>
      <c r="AA9" s="505"/>
      <c r="AB9" s="505"/>
      <c r="AC9" s="505"/>
      <c r="AD9" s="506"/>
      <c r="AG9" t="s">
        <v>3477</v>
      </c>
    </row>
    <row r="10" spans="2:34" ht="15" customHeight="1" thickBot="1" x14ac:dyDescent="0.25">
      <c r="B10" s="258"/>
      <c r="C10" s="259"/>
      <c r="D10" s="259"/>
      <c r="E10" s="259"/>
      <c r="F10" s="260"/>
      <c r="G10" s="264"/>
      <c r="H10" s="265"/>
      <c r="I10" s="265"/>
      <c r="J10" s="266"/>
      <c r="K10" s="7"/>
      <c r="L10" s="406" t="s">
        <v>1897</v>
      </c>
      <c r="M10" s="407"/>
      <c r="N10" s="407"/>
      <c r="O10" s="407"/>
      <c r="P10" s="407"/>
      <c r="Q10" s="407"/>
      <c r="R10" s="407"/>
      <c r="S10" s="407"/>
      <c r="T10" s="407"/>
      <c r="U10" s="407"/>
      <c r="V10" s="407"/>
      <c r="W10" s="407"/>
      <c r="X10" s="407"/>
      <c r="Y10" s="407"/>
      <c r="Z10" s="407"/>
      <c r="AA10" s="407"/>
      <c r="AB10" s="407"/>
      <c r="AC10" s="407"/>
      <c r="AD10" s="408"/>
      <c r="AG10" t="s">
        <v>3479</v>
      </c>
    </row>
    <row r="11" spans="2:34" ht="17.25" customHeight="1" x14ac:dyDescent="0.2">
      <c r="B11" s="267">
        <f>メーカー加工場!K70</f>
        <v>0</v>
      </c>
      <c r="C11" s="267"/>
      <c r="D11" s="267"/>
      <c r="E11" s="267"/>
      <c r="F11" s="267"/>
      <c r="G11" s="267"/>
      <c r="H11" s="267"/>
      <c r="I11" s="267"/>
      <c r="J11" s="267"/>
      <c r="K11" s="267"/>
      <c r="L11" s="267"/>
      <c r="M11" s="267"/>
      <c r="N11" s="267"/>
      <c r="O11" s="267"/>
      <c r="P11" s="267"/>
      <c r="Q11" s="267"/>
      <c r="R11" s="267"/>
      <c r="S11" s="267"/>
      <c r="T11" s="267"/>
      <c r="U11" s="267"/>
      <c r="V11" s="267"/>
      <c r="W11" s="267"/>
      <c r="X11" s="267"/>
      <c r="Y11" s="267"/>
      <c r="Z11" s="267"/>
      <c r="AA11" s="267"/>
      <c r="AB11" s="267"/>
      <c r="AC11" s="267"/>
      <c r="AD11" s="267"/>
      <c r="AG11" t="s">
        <v>3480</v>
      </c>
    </row>
    <row r="12" spans="2:34" ht="6" customHeight="1" thickBot="1" x14ac:dyDescent="0.25">
      <c r="B12" s="12"/>
      <c r="C12" s="12"/>
      <c r="D12" s="12"/>
      <c r="E12" s="12"/>
      <c r="F12" s="12"/>
      <c r="G12" s="12"/>
      <c r="H12" s="12"/>
      <c r="I12" s="12"/>
      <c r="J12" s="12"/>
      <c r="K12" s="12"/>
      <c r="L12" s="12"/>
      <c r="M12" s="12"/>
      <c r="N12" s="12"/>
      <c r="O12" s="12"/>
      <c r="P12" s="12"/>
      <c r="Q12" s="12"/>
      <c r="R12" s="12"/>
      <c r="S12" s="12"/>
      <c r="T12" s="12"/>
      <c r="U12" s="12"/>
      <c r="V12" s="12"/>
      <c r="W12" s="12"/>
      <c r="X12" s="12"/>
      <c r="Y12" s="12"/>
      <c r="Z12" s="12"/>
      <c r="AA12" s="12"/>
      <c r="AB12" s="12"/>
      <c r="AC12" s="12"/>
      <c r="AD12" s="12"/>
      <c r="AG12" t="s">
        <v>3482</v>
      </c>
    </row>
    <row r="13" spans="2:34" ht="17.25" customHeight="1" x14ac:dyDescent="0.2">
      <c r="B13" s="268" t="s">
        <v>338</v>
      </c>
      <c r="C13" s="269"/>
      <c r="D13" s="269"/>
      <c r="E13" s="269"/>
      <c r="F13" s="269"/>
      <c r="G13" s="270"/>
      <c r="H13" s="456" t="s">
        <v>339</v>
      </c>
      <c r="I13" s="457"/>
      <c r="J13" s="457"/>
      <c r="K13" s="457"/>
      <c r="L13" s="457"/>
      <c r="M13" s="457"/>
      <c r="N13" s="457"/>
      <c r="O13" s="457"/>
      <c r="P13" s="457"/>
      <c r="Q13" s="457"/>
      <c r="R13" s="457"/>
      <c r="S13" s="457"/>
      <c r="T13" s="457"/>
      <c r="U13" s="457"/>
      <c r="V13" s="457"/>
      <c r="W13" s="457"/>
      <c r="X13" s="457"/>
      <c r="Y13" s="457"/>
      <c r="Z13" s="457"/>
      <c r="AA13" s="457"/>
      <c r="AB13" s="457"/>
      <c r="AC13" s="457"/>
      <c r="AD13" s="458"/>
      <c r="AG13" t="s">
        <v>3483</v>
      </c>
    </row>
    <row r="14" spans="2:34" ht="17.25" customHeight="1" x14ac:dyDescent="0.2">
      <c r="B14" s="271"/>
      <c r="C14" s="272"/>
      <c r="D14" s="272"/>
      <c r="E14" s="272"/>
      <c r="F14" s="272"/>
      <c r="G14" s="273"/>
      <c r="H14" s="459" t="s">
        <v>340</v>
      </c>
      <c r="I14" s="460"/>
      <c r="J14" s="460"/>
      <c r="K14" s="460"/>
      <c r="L14" s="460"/>
      <c r="M14" s="460"/>
      <c r="N14" s="460"/>
      <c r="O14" s="460"/>
      <c r="P14" s="460"/>
      <c r="Q14" s="460"/>
      <c r="R14" s="460"/>
      <c r="S14" s="460"/>
      <c r="T14" s="460"/>
      <c r="U14" s="460"/>
      <c r="V14" s="460"/>
      <c r="W14" s="460"/>
      <c r="X14" s="460"/>
      <c r="Y14" s="460"/>
      <c r="Z14" s="460"/>
      <c r="AA14" s="460"/>
      <c r="AB14" s="460"/>
      <c r="AC14" s="460"/>
      <c r="AD14" s="461"/>
      <c r="AG14" t="s">
        <v>3484</v>
      </c>
    </row>
    <row r="15" spans="2:34" ht="15.75" customHeight="1" x14ac:dyDescent="0.2">
      <c r="B15" s="271"/>
      <c r="C15" s="272"/>
      <c r="D15" s="272"/>
      <c r="E15" s="272"/>
      <c r="F15" s="272"/>
      <c r="G15" s="273"/>
      <c r="H15" s="462" t="s">
        <v>0</v>
      </c>
      <c r="I15" s="463"/>
      <c r="J15" s="463"/>
      <c r="K15" s="463"/>
      <c r="L15" s="463"/>
      <c r="M15" s="463"/>
      <c r="N15" s="463"/>
      <c r="O15" s="463"/>
      <c r="P15" s="463"/>
      <c r="Q15" s="463"/>
      <c r="R15" s="463"/>
      <c r="S15" s="463"/>
      <c r="T15" s="463"/>
      <c r="U15" s="463"/>
      <c r="V15" s="463"/>
      <c r="W15" s="463"/>
      <c r="X15" s="463"/>
      <c r="Y15" s="463"/>
      <c r="Z15" s="463"/>
      <c r="AA15" s="463"/>
      <c r="AB15" s="463"/>
      <c r="AC15" s="463"/>
      <c r="AD15" s="464"/>
      <c r="AG15" t="s">
        <v>3485</v>
      </c>
    </row>
    <row r="16" spans="2:34" ht="17.25" customHeight="1" x14ac:dyDescent="0.2">
      <c r="B16" s="271"/>
      <c r="C16" s="272"/>
      <c r="D16" s="272"/>
      <c r="E16" s="272"/>
      <c r="F16" s="272"/>
      <c r="G16" s="273"/>
      <c r="H16" s="497" t="s">
        <v>1</v>
      </c>
      <c r="I16" s="498"/>
      <c r="J16" s="498"/>
      <c r="K16" s="498"/>
      <c r="L16" s="498"/>
      <c r="M16" s="498"/>
      <c r="N16" s="498"/>
      <c r="O16" s="498"/>
      <c r="P16" s="498"/>
      <c r="Q16" s="498"/>
      <c r="R16" s="498"/>
      <c r="S16" s="498"/>
      <c r="T16" s="498"/>
      <c r="U16" s="498"/>
      <c r="V16" s="498"/>
      <c r="W16" s="498"/>
      <c r="X16" s="498"/>
      <c r="Y16" s="498"/>
      <c r="Z16" s="498"/>
      <c r="AA16" s="498"/>
      <c r="AB16" s="498"/>
      <c r="AC16" s="498"/>
      <c r="AD16" s="499"/>
      <c r="AG16" t="s">
        <v>3487</v>
      </c>
    </row>
    <row r="17" spans="2:37" ht="105" customHeight="1" x14ac:dyDescent="0.2">
      <c r="B17" s="436"/>
      <c r="C17" s="437"/>
      <c r="D17" s="437"/>
      <c r="E17" s="437"/>
      <c r="F17" s="437"/>
      <c r="G17" s="438"/>
      <c r="H17" s="501"/>
      <c r="I17" s="502"/>
      <c r="J17" s="502"/>
      <c r="K17" s="502"/>
      <c r="L17" s="502"/>
      <c r="M17" s="502"/>
      <c r="N17" s="502"/>
      <c r="O17" s="502"/>
      <c r="P17" s="502"/>
      <c r="Q17" s="502"/>
      <c r="R17" s="502"/>
      <c r="S17" s="502"/>
      <c r="T17" s="502"/>
      <c r="U17" s="502"/>
      <c r="V17" s="502"/>
      <c r="W17" s="502"/>
      <c r="X17" s="502"/>
      <c r="Y17" s="502"/>
      <c r="Z17" s="502"/>
      <c r="AA17" s="502"/>
      <c r="AB17" s="502"/>
      <c r="AC17" s="502"/>
      <c r="AD17" s="503"/>
      <c r="AG17" t="s">
        <v>3488</v>
      </c>
      <c r="AH17" s="383" t="s">
        <v>1829</v>
      </c>
      <c r="AI17" s="383"/>
      <c r="AJ17" s="383"/>
    </row>
    <row r="18" spans="2:37" ht="17.25" customHeight="1" x14ac:dyDescent="0.2">
      <c r="B18" s="292" t="s">
        <v>342</v>
      </c>
      <c r="C18" s="293"/>
      <c r="D18" s="293"/>
      <c r="E18" s="293"/>
      <c r="F18" s="293"/>
      <c r="G18" s="293"/>
      <c r="H18" s="13"/>
      <c r="I18" s="473"/>
      <c r="J18" s="473"/>
      <c r="K18" s="473"/>
      <c r="L18" s="473"/>
      <c r="M18" s="473"/>
      <c r="N18" s="473"/>
      <c r="O18" s="473"/>
      <c r="P18" s="244" t="s">
        <v>343</v>
      </c>
      <c r="Q18" s="244"/>
      <c r="R18" s="244"/>
      <c r="S18" s="244"/>
      <c r="T18" s="475"/>
      <c r="U18" s="448" t="s">
        <v>344</v>
      </c>
      <c r="V18" s="449"/>
      <c r="W18" s="449"/>
      <c r="X18" s="449"/>
      <c r="Y18" s="452" t="s">
        <v>2975</v>
      </c>
      <c r="Z18" s="452"/>
      <c r="AA18" s="452"/>
      <c r="AB18" s="452"/>
      <c r="AC18" s="452"/>
      <c r="AD18" s="453"/>
      <c r="AG18" t="s">
        <v>3484</v>
      </c>
    </row>
    <row r="19" spans="2:37" ht="17.25" customHeight="1" x14ac:dyDescent="0.2">
      <c r="B19" s="471"/>
      <c r="C19" s="472"/>
      <c r="D19" s="472"/>
      <c r="E19" s="472"/>
      <c r="F19" s="472"/>
      <c r="G19" s="472"/>
      <c r="H19" s="14"/>
      <c r="I19" s="474"/>
      <c r="J19" s="474"/>
      <c r="K19" s="474"/>
      <c r="L19" s="474"/>
      <c r="M19" s="474"/>
      <c r="N19" s="474"/>
      <c r="O19" s="474"/>
      <c r="P19" s="476" t="s">
        <v>345</v>
      </c>
      <c r="Q19" s="476"/>
      <c r="R19" s="476"/>
      <c r="S19" s="476"/>
      <c r="T19" s="477"/>
      <c r="U19" s="450"/>
      <c r="V19" s="451"/>
      <c r="W19" s="451"/>
      <c r="X19" s="451"/>
      <c r="Y19" s="454"/>
      <c r="Z19" s="454"/>
      <c r="AA19" s="454"/>
      <c r="AB19" s="454"/>
      <c r="AC19" s="454"/>
      <c r="AD19" s="455"/>
      <c r="AG19" t="s">
        <v>3523</v>
      </c>
    </row>
    <row r="20" spans="2:37" ht="13.5" customHeight="1" x14ac:dyDescent="0.2">
      <c r="B20" s="295"/>
      <c r="C20" s="296"/>
      <c r="D20" s="296"/>
      <c r="E20" s="296"/>
      <c r="F20" s="296"/>
      <c r="G20" s="296"/>
      <c r="H20" s="310" t="s">
        <v>346</v>
      </c>
      <c r="I20" s="311"/>
      <c r="J20" s="311"/>
      <c r="K20" s="311"/>
      <c r="L20" s="311"/>
      <c r="M20" s="311"/>
      <c r="N20" s="311"/>
      <c r="O20" s="311"/>
      <c r="P20" s="311"/>
      <c r="Q20" s="311"/>
      <c r="R20" s="311"/>
      <c r="S20" s="311"/>
      <c r="T20" s="311"/>
      <c r="U20" s="311"/>
      <c r="V20" s="311"/>
      <c r="W20" s="311"/>
      <c r="X20" s="311"/>
      <c r="Y20" s="311"/>
      <c r="Z20" s="311"/>
      <c r="AA20" s="311"/>
      <c r="AB20" s="311"/>
      <c r="AC20" s="311"/>
      <c r="AD20" s="312"/>
      <c r="AG20" t="s">
        <v>3491</v>
      </c>
    </row>
    <row r="21" spans="2:37" ht="34.5" customHeight="1" thickBot="1" x14ac:dyDescent="0.25">
      <c r="B21" s="313" t="s">
        <v>347</v>
      </c>
      <c r="C21" s="314"/>
      <c r="D21" s="314"/>
      <c r="E21" s="314"/>
      <c r="F21" s="314"/>
      <c r="G21" s="315"/>
      <c r="H21" s="481" t="s">
        <v>3576</v>
      </c>
      <c r="I21" s="482"/>
      <c r="J21" s="482"/>
      <c r="K21" s="482"/>
      <c r="L21" s="482"/>
      <c r="M21" s="482"/>
      <c r="N21" s="482"/>
      <c r="O21" s="445" t="s">
        <v>348</v>
      </c>
      <c r="P21" s="445"/>
      <c r="Q21" s="445"/>
      <c r="R21" s="445"/>
      <c r="S21" s="445"/>
      <c r="T21" s="446" t="s">
        <v>2</v>
      </c>
      <c r="U21" s="446"/>
      <c r="V21" s="446"/>
      <c r="W21" s="321" t="str">
        <f>Y3</f>
        <v>岡</v>
      </c>
      <c r="X21" s="321"/>
      <c r="Y21" s="321"/>
      <c r="Z21" s="321"/>
      <c r="AA21" s="321"/>
      <c r="AB21" s="479" t="s">
        <v>350</v>
      </c>
      <c r="AC21" s="479"/>
      <c r="AD21" s="480"/>
      <c r="AG21" t="s">
        <v>3493</v>
      </c>
    </row>
    <row r="22" spans="2:37" ht="6" customHeight="1" thickBot="1" x14ac:dyDescent="0.25">
      <c r="B22" s="15"/>
      <c r="C22" s="15"/>
      <c r="D22" s="15"/>
      <c r="E22" s="15"/>
      <c r="F22" s="15"/>
      <c r="G22" s="15"/>
      <c r="H22" s="15"/>
      <c r="I22" s="15"/>
      <c r="J22" s="15"/>
      <c r="K22" s="15"/>
      <c r="L22" s="15"/>
      <c r="M22" s="15"/>
      <c r="N22" s="15"/>
      <c r="O22" s="15"/>
      <c r="P22" s="15"/>
      <c r="Q22" s="15"/>
      <c r="R22" s="15"/>
      <c r="S22" s="15"/>
      <c r="T22" s="15"/>
      <c r="U22" s="15"/>
      <c r="V22" s="15"/>
      <c r="W22" s="15"/>
      <c r="X22" s="15"/>
      <c r="Y22" s="15"/>
      <c r="Z22" s="15"/>
      <c r="AA22" s="15"/>
      <c r="AB22" s="15"/>
      <c r="AC22" s="15"/>
      <c r="AD22" s="15"/>
      <c r="AG22" t="s">
        <v>3462</v>
      </c>
    </row>
    <row r="23" spans="2:37" ht="24.75" customHeight="1" thickBot="1" x14ac:dyDescent="0.25">
      <c r="B23" s="324" t="s">
        <v>351</v>
      </c>
      <c r="C23" s="325"/>
      <c r="D23" s="325"/>
      <c r="E23" s="325"/>
      <c r="F23" s="325"/>
      <c r="G23" s="325"/>
      <c r="H23" s="325" t="s">
        <v>357</v>
      </c>
      <c r="I23" s="325"/>
      <c r="J23" s="325"/>
      <c r="K23" s="325"/>
      <c r="L23" s="325"/>
      <c r="M23" s="325"/>
      <c r="N23" s="325"/>
      <c r="O23" s="325"/>
      <c r="P23" s="325"/>
      <c r="Q23" s="325"/>
      <c r="R23" s="325"/>
      <c r="S23" s="325" t="s">
        <v>3</v>
      </c>
      <c r="T23" s="325"/>
      <c r="U23" s="325"/>
      <c r="V23" s="325"/>
      <c r="W23" s="325"/>
      <c r="X23" s="325"/>
      <c r="Y23" s="22" t="s">
        <v>355</v>
      </c>
      <c r="Z23" s="17"/>
      <c r="AA23" s="339" t="s">
        <v>3661</v>
      </c>
      <c r="AB23" s="340"/>
      <c r="AC23" s="340"/>
      <c r="AD23" s="341"/>
      <c r="AG23" t="s">
        <v>3463</v>
      </c>
    </row>
    <row r="24" spans="2:37" ht="20.25" customHeight="1" x14ac:dyDescent="0.2">
      <c r="B24" s="328">
        <v>1</v>
      </c>
      <c r="C24" s="329"/>
      <c r="D24" s="396" t="s">
        <v>3646</v>
      </c>
      <c r="E24" s="396"/>
      <c r="F24" s="396"/>
      <c r="G24" s="396"/>
      <c r="H24" s="397" t="str">
        <f>IF(D24="","",VLOOKUP(D24,商品!$A$2:$C$1753,3,FALSE))</f>
        <v>ベーシック Tシャツ</v>
      </c>
      <c r="I24" s="397"/>
      <c r="J24" s="397"/>
      <c r="K24" s="397"/>
      <c r="L24" s="397"/>
      <c r="M24" s="397"/>
      <c r="N24" s="397"/>
      <c r="O24" s="397"/>
      <c r="P24" s="397"/>
      <c r="Q24" s="397"/>
      <c r="R24" s="397"/>
      <c r="S24" s="333" t="s">
        <v>3647</v>
      </c>
      <c r="T24" s="333"/>
      <c r="U24" s="333"/>
      <c r="V24" s="478"/>
      <c r="W24" s="331" t="s">
        <v>3653</v>
      </c>
      <c r="X24" s="332"/>
      <c r="Y24" s="19">
        <v>2</v>
      </c>
      <c r="Z24" s="17"/>
      <c r="AA24" s="18"/>
      <c r="AB24" s="18"/>
      <c r="AC24" s="18"/>
      <c r="AD24" s="18"/>
      <c r="AG24" t="s">
        <v>3404</v>
      </c>
      <c r="AH24" s="500" t="s">
        <v>1851</v>
      </c>
      <c r="AI24" s="500"/>
      <c r="AJ24" s="500"/>
      <c r="AK24" s="500"/>
    </row>
    <row r="25" spans="2:37" ht="20.25" customHeight="1" x14ac:dyDescent="0.15">
      <c r="B25" s="349">
        <v>2</v>
      </c>
      <c r="C25" s="350"/>
      <c r="D25" s="390"/>
      <c r="E25" s="391"/>
      <c r="F25" s="391"/>
      <c r="G25" s="392"/>
      <c r="H25" s="393" t="str">
        <f>IF(D25="","",VLOOKUP(D25,商品!$A$2:$C$1753,3,FALSE))</f>
        <v/>
      </c>
      <c r="I25" s="394"/>
      <c r="J25" s="394"/>
      <c r="K25" s="394"/>
      <c r="L25" s="394"/>
      <c r="M25" s="394"/>
      <c r="N25" s="394"/>
      <c r="O25" s="394"/>
      <c r="P25" s="394"/>
      <c r="Q25" s="394"/>
      <c r="R25" s="395"/>
      <c r="S25" s="342" t="s">
        <v>3656</v>
      </c>
      <c r="T25" s="343"/>
      <c r="U25" s="343"/>
      <c r="V25" s="344"/>
      <c r="W25" s="345" t="s">
        <v>3653</v>
      </c>
      <c r="X25" s="346"/>
      <c r="Y25" s="20">
        <v>2</v>
      </c>
      <c r="Z25" s="15"/>
      <c r="AA25" s="15"/>
      <c r="AB25" s="15"/>
      <c r="AC25" s="15"/>
      <c r="AD25" s="16"/>
      <c r="AG25" t="s">
        <v>3415</v>
      </c>
      <c r="AH25" s="500"/>
      <c r="AI25" s="500"/>
      <c r="AJ25" s="500"/>
      <c r="AK25" s="500"/>
    </row>
    <row r="26" spans="2:37" ht="20.25" customHeight="1" x14ac:dyDescent="0.15">
      <c r="B26" s="349">
        <v>3</v>
      </c>
      <c r="C26" s="350"/>
      <c r="D26" s="390"/>
      <c r="E26" s="391"/>
      <c r="F26" s="391"/>
      <c r="G26" s="392"/>
      <c r="H26" s="393" t="str">
        <f>IF(D26="","",VLOOKUP(D26,商品!$A$2:$C$1753,3,FALSE))</f>
        <v/>
      </c>
      <c r="I26" s="394"/>
      <c r="J26" s="394"/>
      <c r="K26" s="394"/>
      <c r="L26" s="394"/>
      <c r="M26" s="394"/>
      <c r="N26" s="394"/>
      <c r="O26" s="394"/>
      <c r="P26" s="394"/>
      <c r="Q26" s="394"/>
      <c r="R26" s="395"/>
      <c r="S26" s="342" t="s">
        <v>3649</v>
      </c>
      <c r="T26" s="343"/>
      <c r="U26" s="343"/>
      <c r="V26" s="344"/>
      <c r="W26" s="345" t="s">
        <v>3653</v>
      </c>
      <c r="X26" s="346"/>
      <c r="Y26" s="20">
        <v>2</v>
      </c>
      <c r="Z26" s="15"/>
      <c r="AA26" s="15"/>
      <c r="AB26" s="15"/>
      <c r="AC26" s="15"/>
      <c r="AD26" s="16"/>
      <c r="AG26" t="s">
        <v>1158</v>
      </c>
    </row>
    <row r="27" spans="2:37" ht="20.25" customHeight="1" x14ac:dyDescent="0.15">
      <c r="B27" s="349">
        <v>4</v>
      </c>
      <c r="C27" s="350"/>
      <c r="D27" s="390"/>
      <c r="E27" s="391"/>
      <c r="F27" s="391"/>
      <c r="G27" s="392"/>
      <c r="H27" s="393" t="str">
        <f>IF(D27="","",VLOOKUP(D27,商品!$A$2:$C$1753,3,FALSE))</f>
        <v/>
      </c>
      <c r="I27" s="394"/>
      <c r="J27" s="394"/>
      <c r="K27" s="394"/>
      <c r="L27" s="394"/>
      <c r="M27" s="394"/>
      <c r="N27" s="394"/>
      <c r="O27" s="394"/>
      <c r="P27" s="394"/>
      <c r="Q27" s="394"/>
      <c r="R27" s="395"/>
      <c r="S27" s="342" t="s">
        <v>3659</v>
      </c>
      <c r="T27" s="343"/>
      <c r="U27" s="343"/>
      <c r="V27" s="344"/>
      <c r="W27" s="345" t="s">
        <v>3653</v>
      </c>
      <c r="X27" s="346"/>
      <c r="Y27" s="20">
        <v>2</v>
      </c>
      <c r="Z27" s="15"/>
      <c r="AA27" s="15"/>
      <c r="AB27" s="15"/>
      <c r="AC27" s="15"/>
      <c r="AD27" s="16"/>
      <c r="AG27" t="s">
        <v>1581</v>
      </c>
    </row>
    <row r="28" spans="2:37" ht="20.25" customHeight="1" x14ac:dyDescent="0.15">
      <c r="B28" s="349">
        <v>5</v>
      </c>
      <c r="C28" s="350"/>
      <c r="D28" s="390"/>
      <c r="E28" s="391"/>
      <c r="F28" s="391"/>
      <c r="G28" s="392"/>
      <c r="H28" s="393" t="str">
        <f>IF(D28="","",VLOOKUP(D28,商品!$A$2:$C$1753,3,FALSE))</f>
        <v/>
      </c>
      <c r="I28" s="394"/>
      <c r="J28" s="394"/>
      <c r="K28" s="394"/>
      <c r="L28" s="394"/>
      <c r="M28" s="394"/>
      <c r="N28" s="394"/>
      <c r="O28" s="394"/>
      <c r="P28" s="394"/>
      <c r="Q28" s="394"/>
      <c r="R28" s="395"/>
      <c r="S28" s="342" t="s">
        <v>3648</v>
      </c>
      <c r="T28" s="343"/>
      <c r="U28" s="343"/>
      <c r="V28" s="344"/>
      <c r="W28" s="345" t="s">
        <v>3653</v>
      </c>
      <c r="X28" s="346"/>
      <c r="Y28" s="20">
        <v>2</v>
      </c>
      <c r="Z28" s="15"/>
      <c r="AA28" s="15"/>
      <c r="AB28" s="15"/>
      <c r="AC28" s="15"/>
      <c r="AD28" s="16"/>
      <c r="AG28" t="s">
        <v>3515</v>
      </c>
    </row>
    <row r="29" spans="2:37" ht="20.25" customHeight="1" x14ac:dyDescent="0.15">
      <c r="B29" s="349">
        <v>6</v>
      </c>
      <c r="C29" s="350"/>
      <c r="D29" s="390"/>
      <c r="E29" s="391"/>
      <c r="F29" s="391"/>
      <c r="G29" s="392"/>
      <c r="H29" s="393" t="str">
        <f>IF(D29="","",VLOOKUP(D29,商品!$A$2:$C$1753,3,FALSE))</f>
        <v/>
      </c>
      <c r="I29" s="394"/>
      <c r="J29" s="394"/>
      <c r="K29" s="394"/>
      <c r="L29" s="394"/>
      <c r="M29" s="394"/>
      <c r="N29" s="394"/>
      <c r="O29" s="394"/>
      <c r="P29" s="394"/>
      <c r="Q29" s="394"/>
      <c r="R29" s="395"/>
      <c r="S29" s="342" t="s">
        <v>3662</v>
      </c>
      <c r="T29" s="343"/>
      <c r="U29" s="343"/>
      <c r="V29" s="344"/>
      <c r="W29" s="345" t="s">
        <v>3650</v>
      </c>
      <c r="X29" s="346"/>
      <c r="Y29" s="20">
        <v>2</v>
      </c>
      <c r="Z29" s="15"/>
      <c r="AA29" s="15"/>
      <c r="AB29" s="15"/>
      <c r="AC29" s="15"/>
      <c r="AD29" s="16"/>
    </row>
    <row r="30" spans="2:37" ht="20.25" customHeight="1" x14ac:dyDescent="0.15">
      <c r="B30" s="349">
        <v>7</v>
      </c>
      <c r="C30" s="350"/>
      <c r="D30" s="390"/>
      <c r="E30" s="391"/>
      <c r="F30" s="391"/>
      <c r="G30" s="392"/>
      <c r="H30" s="393" t="str">
        <f>IF(D30="","",VLOOKUP(D30,商品!$A$2:$C$1753,3,FALSE))</f>
        <v/>
      </c>
      <c r="I30" s="394"/>
      <c r="J30" s="394"/>
      <c r="K30" s="394"/>
      <c r="L30" s="394"/>
      <c r="M30" s="394"/>
      <c r="N30" s="394"/>
      <c r="O30" s="394"/>
      <c r="P30" s="394"/>
      <c r="Q30" s="394"/>
      <c r="R30" s="395"/>
      <c r="S30" s="342" t="s">
        <v>3655</v>
      </c>
      <c r="T30" s="343"/>
      <c r="U30" s="343"/>
      <c r="V30" s="344"/>
      <c r="W30" s="345" t="s">
        <v>3650</v>
      </c>
      <c r="X30" s="346"/>
      <c r="Y30" s="20">
        <v>2</v>
      </c>
      <c r="Z30" s="15"/>
      <c r="AA30" s="15"/>
      <c r="AB30" s="15"/>
      <c r="AC30" s="15"/>
      <c r="AD30" s="16"/>
    </row>
    <row r="31" spans="2:37" ht="20.25" customHeight="1" x14ac:dyDescent="0.15">
      <c r="B31" s="349">
        <v>8</v>
      </c>
      <c r="C31" s="350"/>
      <c r="D31" s="390"/>
      <c r="E31" s="391"/>
      <c r="F31" s="391"/>
      <c r="G31" s="392"/>
      <c r="H31" s="393" t="str">
        <f>IF(D31="","",VLOOKUP(D31,商品!$A$2:$C$1753,3,FALSE))</f>
        <v/>
      </c>
      <c r="I31" s="394"/>
      <c r="J31" s="394"/>
      <c r="K31" s="394"/>
      <c r="L31" s="394"/>
      <c r="M31" s="394"/>
      <c r="N31" s="394"/>
      <c r="O31" s="394"/>
      <c r="P31" s="394"/>
      <c r="Q31" s="394"/>
      <c r="R31" s="395"/>
      <c r="S31" s="342" t="s">
        <v>3657</v>
      </c>
      <c r="T31" s="343"/>
      <c r="U31" s="343"/>
      <c r="V31" s="344"/>
      <c r="W31" s="345" t="s">
        <v>3650</v>
      </c>
      <c r="X31" s="346"/>
      <c r="Y31" s="20">
        <v>2</v>
      </c>
      <c r="Z31" s="15"/>
      <c r="AA31" s="15"/>
      <c r="AB31" s="15"/>
      <c r="AC31" s="15"/>
      <c r="AD31" s="16"/>
    </row>
    <row r="32" spans="2:37" ht="20.25" customHeight="1" x14ac:dyDescent="0.15">
      <c r="B32" s="349">
        <v>9</v>
      </c>
      <c r="C32" s="350"/>
      <c r="D32" s="390"/>
      <c r="E32" s="391"/>
      <c r="F32" s="391"/>
      <c r="G32" s="392"/>
      <c r="H32" s="393" t="str">
        <f>IF(D32="","",VLOOKUP(D32,商品!$A$2:$C$1753,3,FALSE))</f>
        <v/>
      </c>
      <c r="I32" s="394"/>
      <c r="J32" s="394"/>
      <c r="K32" s="394"/>
      <c r="L32" s="394"/>
      <c r="M32" s="394"/>
      <c r="N32" s="394"/>
      <c r="O32" s="394"/>
      <c r="P32" s="394"/>
      <c r="Q32" s="394"/>
      <c r="R32" s="395"/>
      <c r="S32" s="342" t="s">
        <v>3658</v>
      </c>
      <c r="T32" s="343"/>
      <c r="U32" s="343"/>
      <c r="V32" s="344"/>
      <c r="W32" s="345" t="s">
        <v>3650</v>
      </c>
      <c r="X32" s="346"/>
      <c r="Y32" s="20">
        <v>2</v>
      </c>
      <c r="Z32" s="15"/>
      <c r="AA32" s="15"/>
      <c r="AB32" s="15"/>
      <c r="AC32" s="15"/>
      <c r="AD32" s="16"/>
    </row>
    <row r="33" spans="2:30" ht="18.75" customHeight="1" x14ac:dyDescent="0.15">
      <c r="B33" s="349">
        <v>10</v>
      </c>
      <c r="C33" s="350"/>
      <c r="D33" s="390"/>
      <c r="E33" s="391"/>
      <c r="F33" s="391"/>
      <c r="G33" s="392"/>
      <c r="H33" s="393" t="str">
        <f>IF(D33="","",VLOOKUP(D33,商品!$A$2:$C$1753,3,FALSE))</f>
        <v/>
      </c>
      <c r="I33" s="394"/>
      <c r="J33" s="394"/>
      <c r="K33" s="394"/>
      <c r="L33" s="394"/>
      <c r="M33" s="394"/>
      <c r="N33" s="394"/>
      <c r="O33" s="394"/>
      <c r="P33" s="394"/>
      <c r="Q33" s="394"/>
      <c r="R33" s="395"/>
      <c r="S33" s="342" t="s">
        <v>3660</v>
      </c>
      <c r="T33" s="343"/>
      <c r="U33" s="343"/>
      <c r="V33" s="344"/>
      <c r="W33" s="345" t="s">
        <v>3650</v>
      </c>
      <c r="X33" s="346"/>
      <c r="Y33" s="20">
        <v>2</v>
      </c>
      <c r="Z33" s="15"/>
      <c r="AA33" s="15"/>
      <c r="AB33" s="15"/>
      <c r="AC33" s="15"/>
      <c r="AD33" s="16"/>
    </row>
    <row r="34" spans="2:30" ht="19.5" customHeight="1" x14ac:dyDescent="0.15">
      <c r="B34" s="349">
        <v>11</v>
      </c>
      <c r="C34" s="350"/>
      <c r="D34" s="390" t="s">
        <v>1878</v>
      </c>
      <c r="E34" s="391"/>
      <c r="F34" s="391"/>
      <c r="G34" s="392"/>
      <c r="H34" s="393" t="str">
        <f>IF(D34="","",VLOOKUP(D34,商品!$A$2:$C$1753,3,FALSE))</f>
        <v/>
      </c>
      <c r="I34" s="394"/>
      <c r="J34" s="394"/>
      <c r="K34" s="394"/>
      <c r="L34" s="394"/>
      <c r="M34" s="394"/>
      <c r="N34" s="394"/>
      <c r="O34" s="394"/>
      <c r="P34" s="394"/>
      <c r="Q34" s="394"/>
      <c r="R34" s="395"/>
      <c r="S34" s="342" t="s">
        <v>3662</v>
      </c>
      <c r="T34" s="343"/>
      <c r="U34" s="343"/>
      <c r="V34" s="344"/>
      <c r="W34" s="345" t="s">
        <v>3654</v>
      </c>
      <c r="X34" s="346"/>
      <c r="Y34" s="20">
        <v>1</v>
      </c>
      <c r="Z34" s="15"/>
      <c r="AA34" s="15"/>
      <c r="AB34" s="15"/>
      <c r="AC34" s="15"/>
      <c r="AD34" s="16"/>
    </row>
    <row r="35" spans="2:30" ht="19.5" customHeight="1" x14ac:dyDescent="0.15">
      <c r="B35" s="349">
        <v>12</v>
      </c>
      <c r="C35" s="350"/>
      <c r="D35" s="390" t="s">
        <v>1878</v>
      </c>
      <c r="E35" s="391"/>
      <c r="F35" s="391"/>
      <c r="G35" s="392"/>
      <c r="H35" s="393" t="str">
        <f>IF(D35="","",VLOOKUP(D35,商品!$A$2:$C$1753,3,FALSE))</f>
        <v/>
      </c>
      <c r="I35" s="394"/>
      <c r="J35" s="394"/>
      <c r="K35" s="394"/>
      <c r="L35" s="394"/>
      <c r="M35" s="394"/>
      <c r="N35" s="394"/>
      <c r="O35" s="394"/>
      <c r="P35" s="394"/>
      <c r="Q35" s="394"/>
      <c r="R35" s="395"/>
      <c r="S35" s="342" t="s">
        <v>3655</v>
      </c>
      <c r="T35" s="343"/>
      <c r="U35" s="343"/>
      <c r="V35" s="344"/>
      <c r="W35" s="345" t="s">
        <v>3654</v>
      </c>
      <c r="X35" s="346"/>
      <c r="Y35" s="20">
        <v>1</v>
      </c>
      <c r="Z35" s="15"/>
      <c r="AA35" s="15"/>
      <c r="AB35" s="15"/>
      <c r="AC35" s="15"/>
      <c r="AD35" s="16"/>
    </row>
    <row r="36" spans="2:30" ht="19.5" customHeight="1" x14ac:dyDescent="0.15">
      <c r="B36" s="349">
        <v>13</v>
      </c>
      <c r="C36" s="350"/>
      <c r="D36" s="390" t="s">
        <v>1878</v>
      </c>
      <c r="E36" s="391"/>
      <c r="F36" s="391"/>
      <c r="G36" s="392"/>
      <c r="H36" s="393" t="str">
        <f>IF(D36="","",VLOOKUP(D36,商品!$A$2:$C$1753,3,FALSE))</f>
        <v/>
      </c>
      <c r="I36" s="394"/>
      <c r="J36" s="394"/>
      <c r="K36" s="394"/>
      <c r="L36" s="394"/>
      <c r="M36" s="394"/>
      <c r="N36" s="394"/>
      <c r="O36" s="394"/>
      <c r="P36" s="394"/>
      <c r="Q36" s="394"/>
      <c r="R36" s="395"/>
      <c r="S36" s="342" t="s">
        <v>3657</v>
      </c>
      <c r="T36" s="343"/>
      <c r="U36" s="343"/>
      <c r="V36" s="344"/>
      <c r="W36" s="345" t="s">
        <v>3654</v>
      </c>
      <c r="X36" s="346"/>
      <c r="Y36" s="20">
        <v>1</v>
      </c>
      <c r="Z36" s="15"/>
      <c r="AA36" s="15"/>
      <c r="AB36" s="15"/>
      <c r="AC36" s="15"/>
      <c r="AD36" s="16"/>
    </row>
    <row r="37" spans="2:30" ht="19.5" customHeight="1" x14ac:dyDescent="0.15">
      <c r="B37" s="349">
        <v>14</v>
      </c>
      <c r="C37" s="350"/>
      <c r="D37" s="390" t="s">
        <v>1878</v>
      </c>
      <c r="E37" s="391"/>
      <c r="F37" s="391"/>
      <c r="G37" s="392"/>
      <c r="H37" s="393" t="str">
        <f>IF(D37="","",VLOOKUP(D37,商品!$A$2:$C$1753,3,FALSE))</f>
        <v/>
      </c>
      <c r="I37" s="394"/>
      <c r="J37" s="394"/>
      <c r="K37" s="394"/>
      <c r="L37" s="394"/>
      <c r="M37" s="394"/>
      <c r="N37" s="394"/>
      <c r="O37" s="394"/>
      <c r="P37" s="394"/>
      <c r="Q37" s="394"/>
      <c r="R37" s="395"/>
      <c r="S37" s="342" t="s">
        <v>3658</v>
      </c>
      <c r="T37" s="343"/>
      <c r="U37" s="343"/>
      <c r="V37" s="344"/>
      <c r="W37" s="345" t="s">
        <v>3654</v>
      </c>
      <c r="X37" s="346"/>
      <c r="Y37" s="20">
        <v>1</v>
      </c>
      <c r="Z37" s="15"/>
      <c r="AA37" s="15"/>
      <c r="AB37" s="15"/>
      <c r="AC37" s="15"/>
      <c r="AD37" s="16"/>
    </row>
    <row r="38" spans="2:30" ht="19.5" customHeight="1" thickBot="1" x14ac:dyDescent="0.2">
      <c r="B38" s="492">
        <v>15</v>
      </c>
      <c r="C38" s="493"/>
      <c r="D38" s="384" t="s">
        <v>1878</v>
      </c>
      <c r="E38" s="385"/>
      <c r="F38" s="385"/>
      <c r="G38" s="386"/>
      <c r="H38" s="387" t="str">
        <f>IF(D38="","",VLOOKUP(D38,商品!$A$2:$C$1753,3,FALSE))</f>
        <v/>
      </c>
      <c r="I38" s="388"/>
      <c r="J38" s="388"/>
      <c r="K38" s="388"/>
      <c r="L38" s="388"/>
      <c r="M38" s="388"/>
      <c r="N38" s="388"/>
      <c r="O38" s="388"/>
      <c r="P38" s="388"/>
      <c r="Q38" s="388"/>
      <c r="R38" s="389"/>
      <c r="S38" s="375" t="s">
        <v>3660</v>
      </c>
      <c r="T38" s="376"/>
      <c r="U38" s="376"/>
      <c r="V38" s="380"/>
      <c r="W38" s="381" t="s">
        <v>3654</v>
      </c>
      <c r="X38" s="382"/>
      <c r="Y38" s="21">
        <v>1</v>
      </c>
      <c r="Z38" s="15"/>
      <c r="AA38" s="15"/>
      <c r="AB38" s="15"/>
      <c r="AC38" s="15"/>
      <c r="AD38" s="16"/>
    </row>
    <row r="39" spans="2:30" ht="4.5" customHeight="1" thickBot="1" x14ac:dyDescent="0.25">
      <c r="B39" s="15"/>
      <c r="C39" s="15"/>
      <c r="D39" s="15"/>
      <c r="E39" s="15"/>
      <c r="F39" s="15"/>
      <c r="G39" s="15"/>
      <c r="H39" s="15"/>
      <c r="I39" s="15"/>
      <c r="J39" s="15"/>
      <c r="K39" s="15"/>
      <c r="L39" s="15"/>
      <c r="M39" s="15"/>
      <c r="N39" s="15"/>
      <c r="O39" s="15"/>
      <c r="P39" s="15"/>
      <c r="Q39" s="15"/>
      <c r="R39" s="15"/>
      <c r="S39" s="15"/>
      <c r="T39" s="15"/>
      <c r="U39" s="15"/>
      <c r="V39" s="15"/>
      <c r="W39" s="15"/>
      <c r="X39" s="15"/>
      <c r="Y39" s="15"/>
      <c r="Z39" s="15"/>
      <c r="AA39" s="15"/>
      <c r="AB39" s="15"/>
      <c r="AC39" s="15"/>
      <c r="AD39" s="15"/>
    </row>
    <row r="40" spans="2:30" ht="20.25" customHeight="1" thickTop="1" x14ac:dyDescent="0.2">
      <c r="B40" s="355" t="s">
        <v>352</v>
      </c>
      <c r="C40" s="356"/>
      <c r="D40" s="356"/>
      <c r="E40" s="356"/>
      <c r="F40" s="356"/>
      <c r="G40" s="356"/>
      <c r="H40" s="483" t="s">
        <v>353</v>
      </c>
      <c r="I40" s="484"/>
      <c r="J40" s="484"/>
      <c r="K40" s="484"/>
      <c r="L40" s="484"/>
      <c r="M40" s="484"/>
      <c r="N40" s="484"/>
      <c r="O40" s="484"/>
      <c r="P40" s="484"/>
      <c r="Q40" s="484"/>
      <c r="R40" s="484"/>
      <c r="S40" s="484"/>
      <c r="T40" s="484"/>
      <c r="U40" s="484"/>
      <c r="V40" s="484"/>
      <c r="W40" s="484"/>
      <c r="X40" s="484"/>
      <c r="Y40" s="484"/>
      <c r="Z40" s="484"/>
      <c r="AA40" s="484"/>
      <c r="AB40" s="484"/>
      <c r="AC40" s="484"/>
      <c r="AD40" s="485"/>
    </row>
    <row r="41" spans="2:30" ht="20.25" customHeight="1" thickBot="1" x14ac:dyDescent="0.25">
      <c r="B41" s="357"/>
      <c r="C41" s="358"/>
      <c r="D41" s="358"/>
      <c r="E41" s="358"/>
      <c r="F41" s="358"/>
      <c r="G41" s="358"/>
      <c r="H41" s="486" t="s">
        <v>406</v>
      </c>
      <c r="I41" s="487"/>
      <c r="J41" s="487"/>
      <c r="K41" s="487"/>
      <c r="L41" s="487"/>
      <c r="M41" s="487"/>
      <c r="N41" s="494"/>
      <c r="O41" s="495"/>
      <c r="P41" s="495"/>
      <c r="Q41" s="495"/>
      <c r="R41" s="34" t="s">
        <v>4</v>
      </c>
      <c r="S41" s="490"/>
      <c r="T41" s="490"/>
      <c r="U41" s="490"/>
      <c r="V41" s="491" t="s">
        <v>408</v>
      </c>
      <c r="W41" s="491"/>
      <c r="X41" s="34"/>
      <c r="Y41" s="34"/>
      <c r="Z41" s="34"/>
      <c r="AA41" s="34"/>
      <c r="AB41" s="34"/>
      <c r="AC41" s="34"/>
      <c r="AD41" s="35"/>
    </row>
    <row r="42" spans="2:30" ht="4.5" customHeight="1" thickTop="1" x14ac:dyDescent="0.2"/>
  </sheetData>
  <mergeCells count="133">
    <mergeCell ref="V4:X4"/>
    <mergeCell ref="Y4:AD4"/>
    <mergeCell ref="B4:F4"/>
    <mergeCell ref="G4:J4"/>
    <mergeCell ref="L4:N4"/>
    <mergeCell ref="O4:U4"/>
    <mergeCell ref="C1:Q1"/>
    <mergeCell ref="R1:AD1"/>
    <mergeCell ref="B3:F3"/>
    <mergeCell ref="G3:J3"/>
    <mergeCell ref="L3:N3"/>
    <mergeCell ref="O3:U3"/>
    <mergeCell ref="V3:X3"/>
    <mergeCell ref="Y3:AD3"/>
    <mergeCell ref="B7:F7"/>
    <mergeCell ref="G7:J7"/>
    <mergeCell ref="L7:AD9"/>
    <mergeCell ref="B8:F8"/>
    <mergeCell ref="G8:J8"/>
    <mergeCell ref="B9:F10"/>
    <mergeCell ref="G9:J10"/>
    <mergeCell ref="L10:AD10"/>
    <mergeCell ref="B5:F6"/>
    <mergeCell ref="G5:J6"/>
    <mergeCell ref="L6:AD6"/>
    <mergeCell ref="AH17:AJ17"/>
    <mergeCell ref="B18:G20"/>
    <mergeCell ref="I18:O19"/>
    <mergeCell ref="P18:T18"/>
    <mergeCell ref="U18:X19"/>
    <mergeCell ref="Y18:AD19"/>
    <mergeCell ref="P19:T19"/>
    <mergeCell ref="H20:AD20"/>
    <mergeCell ref="B11:AD11"/>
    <mergeCell ref="B13:G17"/>
    <mergeCell ref="H13:AD13"/>
    <mergeCell ref="H14:AD14"/>
    <mergeCell ref="H15:AD15"/>
    <mergeCell ref="H16:AD16"/>
    <mergeCell ref="H17:AD17"/>
    <mergeCell ref="W21:AA21"/>
    <mergeCell ref="B23:G23"/>
    <mergeCell ref="H23:R23"/>
    <mergeCell ref="S23:X23"/>
    <mergeCell ref="AA23:AD23"/>
    <mergeCell ref="AB21:AD21"/>
    <mergeCell ref="B21:G21"/>
    <mergeCell ref="H21:N21"/>
    <mergeCell ref="O21:S21"/>
    <mergeCell ref="T21:V21"/>
    <mergeCell ref="W27:X27"/>
    <mergeCell ref="B26:C26"/>
    <mergeCell ref="D26:G26"/>
    <mergeCell ref="H26:R26"/>
    <mergeCell ref="S26:V26"/>
    <mergeCell ref="W26:X26"/>
    <mergeCell ref="B27:C27"/>
    <mergeCell ref="D27:G27"/>
    <mergeCell ref="H27:R27"/>
    <mergeCell ref="S27:V27"/>
    <mergeCell ref="AH24:AK25"/>
    <mergeCell ref="B25:C25"/>
    <mergeCell ref="D25:G25"/>
    <mergeCell ref="H25:R25"/>
    <mergeCell ref="S25:V25"/>
    <mergeCell ref="W25:X25"/>
    <mergeCell ref="B24:C24"/>
    <mergeCell ref="D24:G24"/>
    <mergeCell ref="H24:R24"/>
    <mergeCell ref="S24:V24"/>
    <mergeCell ref="W24:X24"/>
    <mergeCell ref="W29:X29"/>
    <mergeCell ref="B28:C28"/>
    <mergeCell ref="D28:G28"/>
    <mergeCell ref="H28:R28"/>
    <mergeCell ref="S28:V28"/>
    <mergeCell ref="W28:X28"/>
    <mergeCell ref="B29:C29"/>
    <mergeCell ref="D29:G29"/>
    <mergeCell ref="H29:R29"/>
    <mergeCell ref="S29:V29"/>
    <mergeCell ref="W31:X31"/>
    <mergeCell ref="B30:C30"/>
    <mergeCell ref="D30:G30"/>
    <mergeCell ref="H30:R30"/>
    <mergeCell ref="S30:V30"/>
    <mergeCell ref="W30:X30"/>
    <mergeCell ref="B31:C31"/>
    <mergeCell ref="D31:G31"/>
    <mergeCell ref="H31:R31"/>
    <mergeCell ref="S31:V31"/>
    <mergeCell ref="W33:X33"/>
    <mergeCell ref="B32:C32"/>
    <mergeCell ref="D32:G32"/>
    <mergeCell ref="H32:R32"/>
    <mergeCell ref="S32:V32"/>
    <mergeCell ref="W32:X32"/>
    <mergeCell ref="B33:C33"/>
    <mergeCell ref="D33:G33"/>
    <mergeCell ref="H33:R33"/>
    <mergeCell ref="S33:V33"/>
    <mergeCell ref="W34:X34"/>
    <mergeCell ref="B35:C35"/>
    <mergeCell ref="D35:G35"/>
    <mergeCell ref="H35:R35"/>
    <mergeCell ref="S35:V35"/>
    <mergeCell ref="W35:X35"/>
    <mergeCell ref="B34:C34"/>
    <mergeCell ref="D34:G34"/>
    <mergeCell ref="H34:R34"/>
    <mergeCell ref="S34:V34"/>
    <mergeCell ref="H41:M41"/>
    <mergeCell ref="N41:Q41"/>
    <mergeCell ref="S41:U41"/>
    <mergeCell ref="V41:W41"/>
    <mergeCell ref="B36:C36"/>
    <mergeCell ref="D36:G36"/>
    <mergeCell ref="H36:R36"/>
    <mergeCell ref="M40:AD40"/>
    <mergeCell ref="W36:X36"/>
    <mergeCell ref="S38:V38"/>
    <mergeCell ref="W38:X38"/>
    <mergeCell ref="S36:V36"/>
    <mergeCell ref="B40:G41"/>
    <mergeCell ref="W37:X37"/>
    <mergeCell ref="H40:L40"/>
    <mergeCell ref="D37:G37"/>
    <mergeCell ref="H37:R37"/>
    <mergeCell ref="S37:V37"/>
    <mergeCell ref="B37:C37"/>
    <mergeCell ref="B38:C38"/>
    <mergeCell ref="D38:G38"/>
    <mergeCell ref="H38:R38"/>
  </mergeCells>
  <phoneticPr fontId="6"/>
  <dataValidations count="1">
    <dataValidation type="list" allowBlank="1" showInputMessage="1" showErrorMessage="1" sqref="C1:Q1" xr:uid="{00000000-0002-0000-0500-000000000000}">
      <formula1>$AG$3:$AG$28</formula1>
    </dataValidation>
  </dataValidations>
  <pageMargins left="0.43307086614173229" right="0.43307086614173229" top="0.47244094488188981" bottom="0.47244094488188981" header="0.31496062992125984" footer="0.31496062992125984"/>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4">
    <tabColor theme="5" tint="0.59999389629810485"/>
  </sheetPr>
  <dimension ref="A1:S29"/>
  <sheetViews>
    <sheetView view="pageBreakPreview" zoomScale="75" zoomScaleNormal="100" zoomScaleSheetLayoutView="75" workbookViewId="0">
      <selection activeCell="F20" sqref="F20"/>
    </sheetView>
  </sheetViews>
  <sheetFormatPr defaultColWidth="9" defaultRowHeight="13.2" x14ac:dyDescent="0.2"/>
  <cols>
    <col min="1" max="1" width="2.77734375" style="1" customWidth="1"/>
    <col min="2" max="2" width="11.21875" style="1" customWidth="1"/>
    <col min="3" max="3" width="23.33203125" style="1" customWidth="1"/>
    <col min="4" max="4" width="14.88671875" style="1" customWidth="1"/>
    <col min="5" max="5" width="5.109375" style="1" customWidth="1"/>
    <col min="6" max="6" width="6.77734375" style="1" customWidth="1"/>
    <col min="7" max="7" width="12.77734375" style="1" customWidth="1"/>
    <col min="8" max="8" width="19.33203125" style="1" customWidth="1"/>
    <col min="9" max="9" width="2.109375" style="1" customWidth="1"/>
    <col min="10" max="10" width="1.88671875" style="111" customWidth="1"/>
    <col min="11" max="11" width="2.77734375" style="1" customWidth="1"/>
    <col min="12" max="12" width="12" style="1" customWidth="1"/>
    <col min="13" max="13" width="22.88671875" style="1" customWidth="1"/>
    <col min="14" max="14" width="15" style="1" customWidth="1"/>
    <col min="15" max="15" width="5.109375" style="1" customWidth="1"/>
    <col min="16" max="16" width="6.33203125" style="1" customWidth="1"/>
    <col min="17" max="17" width="12.77734375" style="1" customWidth="1"/>
    <col min="18" max="18" width="19.21875" style="1" customWidth="1"/>
    <col min="19" max="19" width="1.6640625" style="1" customWidth="1"/>
    <col min="20" max="16384" width="9" style="1"/>
  </cols>
  <sheetData>
    <row r="1" spans="1:19" ht="5.25" customHeight="1" thickBot="1" x14ac:dyDescent="0.25">
      <c r="A1" s="110"/>
      <c r="B1" s="110"/>
      <c r="C1" s="110"/>
      <c r="D1" s="110"/>
      <c r="E1" s="110"/>
      <c r="F1" s="110"/>
      <c r="G1" s="110"/>
      <c r="H1" s="110"/>
      <c r="I1" s="110"/>
      <c r="K1" s="110"/>
      <c r="L1" s="110"/>
      <c r="M1" s="110"/>
      <c r="N1" s="110"/>
      <c r="O1" s="110"/>
      <c r="P1" s="110"/>
      <c r="Q1" s="110"/>
      <c r="R1" s="110"/>
      <c r="S1" s="110"/>
    </row>
    <row r="2" spans="1:19" ht="18" customHeight="1" x14ac:dyDescent="0.2">
      <c r="A2" s="110"/>
      <c r="B2" s="531" t="s">
        <v>3775</v>
      </c>
      <c r="C2" s="532"/>
      <c r="D2" s="532"/>
      <c r="E2" s="528" t="s">
        <v>3774</v>
      </c>
      <c r="F2" s="529"/>
      <c r="G2" s="529"/>
      <c r="H2" s="530"/>
      <c r="I2" s="110"/>
      <c r="K2" s="110"/>
      <c r="L2" s="531" t="s">
        <v>3775</v>
      </c>
      <c r="M2" s="532"/>
      <c r="N2" s="532"/>
      <c r="O2" s="528" t="s">
        <v>3774</v>
      </c>
      <c r="P2" s="529"/>
      <c r="Q2" s="529"/>
      <c r="R2" s="530"/>
      <c r="S2" s="110"/>
    </row>
    <row r="3" spans="1:19" ht="51.75" customHeight="1" thickBot="1" x14ac:dyDescent="0.25">
      <c r="A3" s="110"/>
      <c r="B3" s="517" t="e">
        <f>B25</f>
        <v>#REF!</v>
      </c>
      <c r="C3" s="518"/>
      <c r="D3" s="518"/>
      <c r="E3" s="517" t="e">
        <f>メーカー加工場!B72</f>
        <v>#REF!</v>
      </c>
      <c r="F3" s="518"/>
      <c r="G3" s="518"/>
      <c r="H3" s="519"/>
      <c r="I3" s="110"/>
      <c r="K3" s="110"/>
      <c r="L3" s="517" t="e">
        <f>B3</f>
        <v>#REF!</v>
      </c>
      <c r="M3" s="518"/>
      <c r="N3" s="518"/>
      <c r="O3" s="517" t="e">
        <f>E3</f>
        <v>#REF!</v>
      </c>
      <c r="P3" s="518"/>
      <c r="Q3" s="518"/>
      <c r="R3" s="519"/>
      <c r="S3" s="110"/>
    </row>
    <row r="4" spans="1:19" ht="45.75" customHeight="1" thickBot="1" x14ac:dyDescent="0.25">
      <c r="A4" s="110"/>
      <c r="B4" s="132" t="s">
        <v>3778</v>
      </c>
      <c r="C4" s="134" t="e">
        <f>G25</f>
        <v>#REF!</v>
      </c>
      <c r="D4" s="135" t="e">
        <f>G26</f>
        <v>#REF!</v>
      </c>
      <c r="E4" s="520" t="s">
        <v>3776</v>
      </c>
      <c r="F4" s="521"/>
      <c r="G4" s="526" t="s">
        <v>3772</v>
      </c>
      <c r="H4" s="527"/>
      <c r="I4" s="110"/>
      <c r="K4" s="110"/>
      <c r="L4" s="132" t="s">
        <v>3778</v>
      </c>
      <c r="M4" s="134" t="e">
        <f>C4</f>
        <v>#REF!</v>
      </c>
      <c r="N4" s="135" t="e">
        <f>D4</f>
        <v>#REF!</v>
      </c>
      <c r="O4" s="520" t="s">
        <v>3776</v>
      </c>
      <c r="P4" s="521"/>
      <c r="Q4" s="526" t="str">
        <f>G4</f>
        <v>最短</v>
      </c>
      <c r="R4" s="527"/>
      <c r="S4" s="110"/>
    </row>
    <row r="5" spans="1:19" ht="12.75" customHeight="1" thickBot="1" x14ac:dyDescent="0.25">
      <c r="A5" s="110"/>
      <c r="B5" s="110"/>
      <c r="C5" s="110"/>
      <c r="D5" s="110"/>
      <c r="E5" s="110"/>
      <c r="F5" s="110"/>
      <c r="G5" s="110"/>
      <c r="H5" s="110"/>
      <c r="I5" s="110"/>
      <c r="K5" s="110"/>
      <c r="L5" s="110"/>
      <c r="M5" s="110"/>
      <c r="N5" s="110"/>
      <c r="O5" s="110"/>
      <c r="P5" s="110"/>
      <c r="Q5" s="110"/>
      <c r="R5" s="110"/>
      <c r="S5" s="110"/>
    </row>
    <row r="6" spans="1:19" ht="48" customHeight="1" thickBot="1" x14ac:dyDescent="0.25">
      <c r="A6" s="96"/>
      <c r="B6" s="133" t="s">
        <v>2905</v>
      </c>
      <c r="C6" s="133" t="s">
        <v>357</v>
      </c>
      <c r="D6" s="525" t="s">
        <v>3771</v>
      </c>
      <c r="E6" s="525"/>
      <c r="F6" s="133" t="s">
        <v>2906</v>
      </c>
      <c r="G6" s="522" t="s">
        <v>3777</v>
      </c>
      <c r="H6" s="523"/>
      <c r="I6" s="524"/>
      <c r="K6" s="96"/>
      <c r="L6" s="133" t="s">
        <v>2905</v>
      </c>
      <c r="M6" s="133" t="s">
        <v>357</v>
      </c>
      <c r="N6" s="525" t="s">
        <v>3708</v>
      </c>
      <c r="O6" s="525"/>
      <c r="P6" s="133" t="s">
        <v>2906</v>
      </c>
      <c r="Q6" s="522" t="s">
        <v>3777</v>
      </c>
      <c r="R6" s="523"/>
      <c r="S6" s="524"/>
    </row>
    <row r="7" spans="1:19" ht="30" customHeight="1" thickTop="1" thickBot="1" x14ac:dyDescent="0.25">
      <c r="A7" s="115"/>
      <c r="B7" s="142" t="e">
        <f>#REF!</f>
        <v>#REF!</v>
      </c>
      <c r="C7" s="143" t="e">
        <f>#REF!</f>
        <v>#REF!</v>
      </c>
      <c r="D7" s="144" t="e">
        <f>#REF!</f>
        <v>#REF!</v>
      </c>
      <c r="E7" s="145"/>
      <c r="F7" s="146" t="e">
        <f>#REF!</f>
        <v>#REF!</v>
      </c>
      <c r="G7" s="533" t="s">
        <v>3780</v>
      </c>
      <c r="H7" s="533"/>
      <c r="I7" s="534"/>
      <c r="K7" s="115"/>
      <c r="L7" s="142" t="e">
        <f>B7</f>
        <v>#REF!</v>
      </c>
      <c r="M7" s="143" t="e">
        <f>C7</f>
        <v>#REF!</v>
      </c>
      <c r="N7" s="144" t="e">
        <f>D7</f>
        <v>#REF!</v>
      </c>
      <c r="O7" s="145"/>
      <c r="P7" s="146" t="e">
        <f>F7</f>
        <v>#REF!</v>
      </c>
      <c r="Q7" s="533" t="str">
        <f>G7</f>
        <v>P1在庫のバッグと一緒に
送って下さい。</v>
      </c>
      <c r="R7" s="533"/>
      <c r="S7" s="534"/>
    </row>
    <row r="8" spans="1:19" ht="28.5" customHeight="1" thickTop="1" x14ac:dyDescent="0.2">
      <c r="A8" s="117">
        <v>1</v>
      </c>
      <c r="B8" s="118"/>
      <c r="C8" s="118"/>
      <c r="D8" s="119"/>
      <c r="E8" s="118"/>
      <c r="F8" s="116"/>
      <c r="G8" s="535"/>
      <c r="H8" s="536"/>
      <c r="I8" s="537"/>
      <c r="K8" s="117">
        <v>1</v>
      </c>
      <c r="L8" s="147"/>
      <c r="M8" s="147"/>
      <c r="N8" s="148"/>
      <c r="O8" s="147"/>
      <c r="P8" s="116"/>
      <c r="Q8" s="535"/>
      <c r="R8" s="536"/>
      <c r="S8" s="537"/>
    </row>
    <row r="9" spans="1:19" ht="28.5" customHeight="1" x14ac:dyDescent="0.2">
      <c r="A9" s="117">
        <v>2</v>
      </c>
      <c r="B9" s="120"/>
      <c r="C9" s="118"/>
      <c r="D9" s="119"/>
      <c r="E9" s="118"/>
      <c r="F9" s="116"/>
      <c r="G9" s="535"/>
      <c r="H9" s="536"/>
      <c r="I9" s="537"/>
      <c r="K9" s="117">
        <v>2</v>
      </c>
      <c r="L9" s="88"/>
      <c r="M9" s="147"/>
      <c r="N9" s="148"/>
      <c r="O9" s="147"/>
      <c r="P9" s="116"/>
      <c r="Q9" s="535"/>
      <c r="R9" s="536"/>
      <c r="S9" s="537"/>
    </row>
    <row r="10" spans="1:19" ht="28.5" customHeight="1" x14ac:dyDescent="0.2">
      <c r="A10" s="117">
        <v>3</v>
      </c>
      <c r="B10" s="120"/>
      <c r="C10" s="118"/>
      <c r="D10" s="119"/>
      <c r="E10" s="120"/>
      <c r="F10" s="121"/>
      <c r="G10" s="535"/>
      <c r="H10" s="536"/>
      <c r="I10" s="537"/>
      <c r="K10" s="117">
        <v>3</v>
      </c>
      <c r="L10" s="88"/>
      <c r="M10" s="147"/>
      <c r="N10" s="148"/>
      <c r="O10" s="88"/>
      <c r="P10" s="121"/>
      <c r="Q10" s="535"/>
      <c r="R10" s="536"/>
      <c r="S10" s="537"/>
    </row>
    <row r="11" spans="1:19" ht="28.5" customHeight="1" x14ac:dyDescent="0.2">
      <c r="A11" s="117">
        <v>4</v>
      </c>
      <c r="B11" s="120"/>
      <c r="C11" s="118"/>
      <c r="D11" s="119"/>
      <c r="E11" s="120"/>
      <c r="F11" s="121"/>
      <c r="G11" s="535"/>
      <c r="H11" s="536"/>
      <c r="I11" s="537"/>
      <c r="K11" s="117">
        <v>4</v>
      </c>
      <c r="L11" s="88"/>
      <c r="M11" s="147"/>
      <c r="N11" s="148"/>
      <c r="O11" s="88"/>
      <c r="P11" s="121"/>
      <c r="Q11" s="535"/>
      <c r="R11" s="536"/>
      <c r="S11" s="537"/>
    </row>
    <row r="12" spans="1:19" ht="28.5" customHeight="1" x14ac:dyDescent="0.2">
      <c r="A12" s="117">
        <v>5</v>
      </c>
      <c r="B12" s="120"/>
      <c r="C12" s="118"/>
      <c r="D12" s="119"/>
      <c r="E12" s="120"/>
      <c r="F12" s="121"/>
      <c r="G12" s="535"/>
      <c r="H12" s="536"/>
      <c r="I12" s="537"/>
      <c r="K12" s="117">
        <v>5</v>
      </c>
      <c r="L12" s="88"/>
      <c r="M12" s="147"/>
      <c r="N12" s="148"/>
      <c r="O12" s="88"/>
      <c r="P12" s="121"/>
      <c r="Q12" s="535"/>
      <c r="R12" s="536"/>
      <c r="S12" s="537"/>
    </row>
    <row r="13" spans="1:19" ht="28.5" customHeight="1" x14ac:dyDescent="0.2">
      <c r="A13" s="117">
        <v>6</v>
      </c>
      <c r="B13" s="120"/>
      <c r="C13" s="120"/>
      <c r="D13" s="122"/>
      <c r="E13" s="120"/>
      <c r="F13" s="121"/>
      <c r="G13" s="535"/>
      <c r="H13" s="536"/>
      <c r="I13" s="537"/>
      <c r="K13" s="117">
        <v>6</v>
      </c>
      <c r="L13" s="88"/>
      <c r="M13" s="88"/>
      <c r="N13" s="149"/>
      <c r="O13" s="88"/>
      <c r="P13" s="121"/>
      <c r="Q13" s="535"/>
      <c r="R13" s="536"/>
      <c r="S13" s="537"/>
    </row>
    <row r="14" spans="1:19" ht="28.5" customHeight="1" x14ac:dyDescent="0.2">
      <c r="A14" s="117">
        <v>7</v>
      </c>
      <c r="B14" s="120"/>
      <c r="C14" s="120"/>
      <c r="D14" s="122"/>
      <c r="E14" s="120"/>
      <c r="F14" s="121"/>
      <c r="G14" s="535"/>
      <c r="H14" s="536"/>
      <c r="I14" s="537"/>
      <c r="K14" s="117">
        <v>7</v>
      </c>
      <c r="L14" s="88"/>
      <c r="M14" s="88"/>
      <c r="N14" s="149"/>
      <c r="O14" s="88"/>
      <c r="P14" s="121"/>
      <c r="Q14" s="535"/>
      <c r="R14" s="536"/>
      <c r="S14" s="537"/>
    </row>
    <row r="15" spans="1:19" ht="28.5" customHeight="1" x14ac:dyDescent="0.2">
      <c r="A15" s="117">
        <v>8</v>
      </c>
      <c r="B15" s="120"/>
      <c r="C15" s="120"/>
      <c r="D15" s="122"/>
      <c r="E15" s="120"/>
      <c r="F15" s="121"/>
      <c r="G15" s="535"/>
      <c r="H15" s="536"/>
      <c r="I15" s="537"/>
      <c r="K15" s="117">
        <v>8</v>
      </c>
      <c r="L15" s="88"/>
      <c r="M15" s="88"/>
      <c r="N15" s="149"/>
      <c r="O15" s="88"/>
      <c r="P15" s="121"/>
      <c r="Q15" s="535"/>
      <c r="R15" s="536"/>
      <c r="S15" s="537"/>
    </row>
    <row r="16" spans="1:19" ht="28.5" customHeight="1" x14ac:dyDescent="0.2">
      <c r="A16" s="117">
        <v>9</v>
      </c>
      <c r="B16" s="120"/>
      <c r="C16" s="120"/>
      <c r="D16" s="122"/>
      <c r="E16" s="120"/>
      <c r="F16" s="121"/>
      <c r="G16" s="535"/>
      <c r="H16" s="536"/>
      <c r="I16" s="537"/>
      <c r="K16" s="117">
        <v>9</v>
      </c>
      <c r="L16" s="88"/>
      <c r="M16" s="88"/>
      <c r="N16" s="149"/>
      <c r="O16" s="88"/>
      <c r="P16" s="121"/>
      <c r="Q16" s="535"/>
      <c r="R16" s="536"/>
      <c r="S16" s="537"/>
    </row>
    <row r="17" spans="1:19" ht="28.5" customHeight="1" thickBot="1" x14ac:dyDescent="0.25">
      <c r="A17" s="117">
        <v>10</v>
      </c>
      <c r="B17" s="120"/>
      <c r="C17" s="120"/>
      <c r="D17" s="123"/>
      <c r="E17" s="124"/>
      <c r="F17" s="125"/>
      <c r="G17" s="538"/>
      <c r="H17" s="539"/>
      <c r="I17" s="540"/>
      <c r="K17" s="117">
        <v>10</v>
      </c>
      <c r="L17" s="88"/>
      <c r="M17" s="88"/>
      <c r="N17" s="150"/>
      <c r="O17" s="92"/>
      <c r="P17" s="125"/>
      <c r="Q17" s="538"/>
      <c r="R17" s="539"/>
      <c r="S17" s="540"/>
    </row>
    <row r="18" spans="1:19" ht="27" customHeight="1" thickBot="1" x14ac:dyDescent="0.25">
      <c r="A18" s="507" t="s">
        <v>12</v>
      </c>
      <c r="B18" s="507"/>
      <c r="C18" s="507"/>
      <c r="D18" s="507"/>
      <c r="E18" s="508"/>
      <c r="F18" s="151">
        <f>SUM(F8:F17)</f>
        <v>0</v>
      </c>
      <c r="G18" s="126"/>
      <c r="H18" s="126"/>
      <c r="I18" s="126"/>
      <c r="K18" s="507" t="s">
        <v>12</v>
      </c>
      <c r="L18" s="507"/>
      <c r="M18" s="507"/>
      <c r="N18" s="507"/>
      <c r="O18" s="508"/>
      <c r="P18" s="151">
        <f>SUM(P8:P17)</f>
        <v>0</v>
      </c>
      <c r="Q18" s="126"/>
      <c r="R18" s="126"/>
      <c r="S18" s="126"/>
    </row>
    <row r="19" spans="1:19" ht="7.5" customHeight="1" x14ac:dyDescent="0.2">
      <c r="A19" s="509"/>
      <c r="B19" s="509"/>
      <c r="C19" s="509"/>
      <c r="D19" s="509"/>
      <c r="E19" s="509"/>
      <c r="F19" s="509"/>
      <c r="G19" s="509"/>
      <c r="H19" s="509"/>
      <c r="I19" s="509"/>
    </row>
    <row r="20" spans="1:19" ht="71.25" customHeight="1" thickBot="1" x14ac:dyDescent="0.25"/>
    <row r="21" spans="1:19" ht="12" customHeight="1" x14ac:dyDescent="0.2">
      <c r="A21" s="545" t="s">
        <v>3779</v>
      </c>
      <c r="B21" s="546"/>
      <c r="C21" s="546"/>
      <c r="D21" s="546"/>
      <c r="E21" s="546"/>
      <c r="F21" s="546"/>
      <c r="G21" s="127"/>
      <c r="H21" s="127"/>
      <c r="I21" s="128"/>
      <c r="K21" s="545" t="s">
        <v>3779</v>
      </c>
      <c r="L21" s="546"/>
      <c r="M21" s="546"/>
      <c r="N21" s="546"/>
      <c r="O21" s="546"/>
      <c r="P21" s="546"/>
      <c r="Q21" s="127"/>
      <c r="R21" s="127"/>
      <c r="S21" s="128"/>
    </row>
    <row r="22" spans="1:19" ht="30" customHeight="1" x14ac:dyDescent="0.2">
      <c r="A22" s="547"/>
      <c r="B22" s="548"/>
      <c r="C22" s="548"/>
      <c r="D22" s="548"/>
      <c r="E22" s="548"/>
      <c r="F22" s="548"/>
      <c r="G22" s="136" t="s">
        <v>11</v>
      </c>
      <c r="H22" s="137">
        <f ca="1">TODAY()</f>
        <v>45831</v>
      </c>
      <c r="I22" s="129"/>
      <c r="K22" s="547"/>
      <c r="L22" s="548"/>
      <c r="M22" s="548"/>
      <c r="N22" s="548"/>
      <c r="O22" s="548"/>
      <c r="P22" s="548"/>
      <c r="Q22" s="136" t="s">
        <v>11</v>
      </c>
      <c r="R22" s="137">
        <f ca="1">TODAY()</f>
        <v>45831</v>
      </c>
      <c r="S22" s="129"/>
    </row>
    <row r="23" spans="1:19" ht="6.75" customHeight="1" x14ac:dyDescent="0.2">
      <c r="A23" s="130"/>
      <c r="B23" s="110"/>
      <c r="C23" s="110"/>
      <c r="D23" s="110"/>
      <c r="E23" s="110"/>
      <c r="F23" s="110"/>
      <c r="G23" s="110"/>
      <c r="H23" s="110"/>
      <c r="I23" s="131"/>
      <c r="K23" s="130"/>
      <c r="L23" s="110"/>
      <c r="M23" s="110"/>
      <c r="N23" s="110"/>
      <c r="O23" s="110"/>
      <c r="P23" s="110"/>
      <c r="Q23" s="110"/>
      <c r="R23" s="110"/>
      <c r="S23" s="131"/>
    </row>
    <row r="24" spans="1:19" ht="21" customHeight="1" x14ac:dyDescent="0.2">
      <c r="A24" s="130"/>
      <c r="B24" s="516" t="s">
        <v>3768</v>
      </c>
      <c r="C24" s="516"/>
      <c r="D24" s="516"/>
      <c r="E24" s="516"/>
      <c r="F24" s="516"/>
      <c r="G24" s="139" t="s">
        <v>10</v>
      </c>
      <c r="H24" s="138" t="s">
        <v>3769</v>
      </c>
      <c r="I24" s="131"/>
      <c r="K24" s="130"/>
      <c r="L24" s="516" t="s">
        <v>3768</v>
      </c>
      <c r="M24" s="516"/>
      <c r="N24" s="516"/>
      <c r="O24" s="516"/>
      <c r="P24" s="516"/>
      <c r="Q24" s="139" t="s">
        <v>10</v>
      </c>
      <c r="R24" s="138" t="s">
        <v>3769</v>
      </c>
      <c r="S24" s="131"/>
    </row>
    <row r="25" spans="1:19" ht="29.25" customHeight="1" x14ac:dyDescent="0.2">
      <c r="A25" s="130"/>
      <c r="B25" s="510" t="e">
        <f>メーカー加工場!B75</f>
        <v>#REF!</v>
      </c>
      <c r="C25" s="511"/>
      <c r="D25" s="511"/>
      <c r="E25" s="511"/>
      <c r="F25" s="511"/>
      <c r="G25" s="140" t="e">
        <f>メーカー加工場!Q78</f>
        <v>#REF!</v>
      </c>
      <c r="H25" s="514"/>
      <c r="I25" s="131"/>
      <c r="K25" s="130"/>
      <c r="L25" s="510" t="e">
        <f>B25</f>
        <v>#REF!</v>
      </c>
      <c r="M25" s="511"/>
      <c r="N25" s="511"/>
      <c r="O25" s="511"/>
      <c r="P25" s="511"/>
      <c r="Q25" s="140" t="e">
        <f>G25</f>
        <v>#REF!</v>
      </c>
      <c r="R25" s="514"/>
      <c r="S25" s="131"/>
    </row>
    <row r="26" spans="1:19" ht="33" customHeight="1" x14ac:dyDescent="0.2">
      <c r="A26" s="130"/>
      <c r="B26" s="512"/>
      <c r="C26" s="513"/>
      <c r="D26" s="513"/>
      <c r="E26" s="513"/>
      <c r="F26" s="513"/>
      <c r="G26" s="141" t="e">
        <f>メーカー加工場!Q79</f>
        <v>#REF!</v>
      </c>
      <c r="H26" s="515"/>
      <c r="I26" s="131"/>
      <c r="K26" s="130"/>
      <c r="L26" s="512"/>
      <c r="M26" s="513"/>
      <c r="N26" s="513"/>
      <c r="O26" s="513"/>
      <c r="P26" s="513"/>
      <c r="Q26" s="141" t="e">
        <f>G26</f>
        <v>#REF!</v>
      </c>
      <c r="R26" s="515"/>
      <c r="S26" s="131"/>
    </row>
    <row r="27" spans="1:19" ht="16.2" x14ac:dyDescent="0.2">
      <c r="A27" s="130"/>
      <c r="B27" s="542" t="s">
        <v>3770</v>
      </c>
      <c r="C27" s="543"/>
      <c r="D27" s="543"/>
      <c r="E27" s="543"/>
      <c r="F27" s="543"/>
      <c r="G27" s="543"/>
      <c r="H27" s="544"/>
      <c r="I27" s="131"/>
      <c r="K27" s="130"/>
      <c r="L27" s="542" t="s">
        <v>3770</v>
      </c>
      <c r="M27" s="543"/>
      <c r="N27" s="543"/>
      <c r="O27" s="543"/>
      <c r="P27" s="543"/>
      <c r="Q27" s="543"/>
      <c r="R27" s="544"/>
      <c r="S27" s="131"/>
    </row>
    <row r="28" spans="1:19" ht="55.5" customHeight="1" x14ac:dyDescent="0.2">
      <c r="A28" s="130"/>
      <c r="B28" s="541"/>
      <c r="C28" s="541"/>
      <c r="D28" s="541"/>
      <c r="E28" s="541"/>
      <c r="F28" s="541"/>
      <c r="G28" s="541"/>
      <c r="H28" s="541"/>
      <c r="I28" s="131"/>
      <c r="K28" s="130"/>
      <c r="L28" s="541"/>
      <c r="M28" s="541"/>
      <c r="N28" s="541"/>
      <c r="O28" s="541"/>
      <c r="P28" s="541"/>
      <c r="Q28" s="541"/>
      <c r="R28" s="541"/>
      <c r="S28" s="131"/>
    </row>
    <row r="29" spans="1:19" ht="5.25" customHeight="1" thickBot="1" x14ac:dyDescent="0.25">
      <c r="A29" s="112"/>
      <c r="B29" s="113"/>
      <c r="C29" s="113"/>
      <c r="D29" s="113"/>
      <c r="E29" s="113"/>
      <c r="F29" s="113"/>
      <c r="G29" s="113"/>
      <c r="H29" s="113"/>
      <c r="I29" s="114"/>
      <c r="K29" s="112"/>
      <c r="L29" s="113"/>
      <c r="M29" s="113"/>
      <c r="N29" s="113"/>
      <c r="O29" s="113"/>
      <c r="P29" s="113"/>
      <c r="Q29" s="113"/>
      <c r="R29" s="113"/>
      <c r="S29" s="114"/>
    </row>
  </sheetData>
  <mergeCells count="33">
    <mergeCell ref="E2:H2"/>
    <mergeCell ref="L2:N2"/>
    <mergeCell ref="G7:I17"/>
    <mergeCell ref="B28:H28"/>
    <mergeCell ref="L28:R28"/>
    <mergeCell ref="B27:H27"/>
    <mergeCell ref="B25:F26"/>
    <mergeCell ref="A21:F22"/>
    <mergeCell ref="L27:R27"/>
    <mergeCell ref="K21:P22"/>
    <mergeCell ref="R25:R26"/>
    <mergeCell ref="O2:R2"/>
    <mergeCell ref="Q4:R4"/>
    <mergeCell ref="B3:D3"/>
    <mergeCell ref="Q7:S17"/>
    <mergeCell ref="B2:D2"/>
    <mergeCell ref="O3:R3"/>
    <mergeCell ref="E3:H3"/>
    <mergeCell ref="O4:P4"/>
    <mergeCell ref="Q6:S6"/>
    <mergeCell ref="D6:E6"/>
    <mergeCell ref="E4:F4"/>
    <mergeCell ref="G4:H4"/>
    <mergeCell ref="G6:I6"/>
    <mergeCell ref="N6:O6"/>
    <mergeCell ref="L3:N3"/>
    <mergeCell ref="A18:E18"/>
    <mergeCell ref="A19:I19"/>
    <mergeCell ref="K18:O18"/>
    <mergeCell ref="L25:P26"/>
    <mergeCell ref="H25:H26"/>
    <mergeCell ref="B24:F24"/>
    <mergeCell ref="L24:P24"/>
  </mergeCells>
  <phoneticPr fontId="6"/>
  <printOptions horizontalCentered="1" verticalCentered="1"/>
  <pageMargins left="0.23622047244094491" right="0.23622047244094491" top="0.39370078740157483" bottom="0.39370078740157483" header="0.31496062992125984" footer="0.31496062992125984"/>
  <pageSetup paperSize="9" scale="73"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tabColor rgb="FFFFFF00"/>
  </sheetPr>
  <dimension ref="B1:AI42"/>
  <sheetViews>
    <sheetView view="pageBreakPreview" zoomScale="60" zoomScaleNormal="100" workbookViewId="0">
      <selection activeCell="G7" sqref="G7:I16"/>
    </sheetView>
  </sheetViews>
  <sheetFormatPr defaultRowHeight="13.2" x14ac:dyDescent="0.2"/>
  <cols>
    <col min="1" max="1" width="0.44140625" customWidth="1"/>
    <col min="2" max="2" width="1.88671875" customWidth="1"/>
    <col min="3" max="3" width="1.21875" customWidth="1"/>
    <col min="4" max="4" width="3.33203125" customWidth="1"/>
    <col min="5" max="5" width="5" customWidth="1"/>
    <col min="6" max="6" width="2.109375" customWidth="1"/>
    <col min="7" max="7" width="3" customWidth="1"/>
    <col min="8" max="8" width="1" customWidth="1"/>
    <col min="9" max="9" width="4.44140625" customWidth="1"/>
    <col min="10" max="10" width="5.21875" customWidth="1"/>
    <col min="11" max="11" width="1.21875" customWidth="1"/>
    <col min="12" max="12" width="4.6640625" customWidth="1"/>
    <col min="13" max="13" width="2.6640625" customWidth="1"/>
    <col min="14" max="14" width="3.21875" customWidth="1"/>
    <col min="15" max="15" width="2.44140625" customWidth="1"/>
    <col min="16" max="16" width="2.6640625" customWidth="1"/>
    <col min="17" max="17" width="5.44140625" customWidth="1"/>
    <col min="18" max="18" width="4.109375" customWidth="1"/>
    <col min="19" max="19" width="4.33203125" customWidth="1"/>
    <col min="20" max="20" width="4.21875" customWidth="1"/>
    <col min="21" max="21" width="4.44140625" customWidth="1"/>
    <col min="22" max="22" width="5" customWidth="1"/>
    <col min="23" max="23" width="2.44140625" customWidth="1"/>
    <col min="24" max="24" width="3.109375" customWidth="1"/>
    <col min="25" max="25" width="6.44140625" customWidth="1"/>
    <col min="26" max="26" width="1.109375" customWidth="1"/>
    <col min="27" max="28" width="3" customWidth="1"/>
    <col min="29" max="29" width="2.21875" customWidth="1"/>
    <col min="30" max="30" width="1.44140625" customWidth="1"/>
    <col min="31" max="31" width="0.44140625" customWidth="1"/>
    <col min="32" max="32" width="1.77734375" customWidth="1"/>
    <col min="33" max="33" width="7.88671875" customWidth="1"/>
    <col min="34" max="34" width="6.6640625" customWidth="1"/>
    <col min="35" max="35" width="7.44140625" customWidth="1"/>
    <col min="39" max="39" width="9.77734375" customWidth="1"/>
    <col min="40" max="40" width="77.109375" customWidth="1"/>
    <col min="41" max="41" width="15" customWidth="1"/>
  </cols>
  <sheetData>
    <row r="1" spans="2:30" ht="33.75" customHeight="1" x14ac:dyDescent="0.2">
      <c r="B1" s="3" t="s">
        <v>3569</v>
      </c>
      <c r="C1" s="187" t="s">
        <v>3764</v>
      </c>
      <c r="D1" s="187"/>
      <c r="E1" s="187"/>
      <c r="F1" s="187"/>
      <c r="G1" s="187"/>
      <c r="H1" s="187"/>
      <c r="I1" s="187"/>
      <c r="J1" s="187"/>
      <c r="K1" s="187"/>
      <c r="L1" s="187"/>
      <c r="M1" s="187"/>
      <c r="N1" s="187"/>
      <c r="O1" s="187"/>
      <c r="P1" s="187"/>
      <c r="Q1" s="187"/>
      <c r="R1" s="403" t="s">
        <v>368</v>
      </c>
      <c r="S1" s="403"/>
      <c r="T1" s="403"/>
      <c r="U1" s="403"/>
      <c r="V1" s="403"/>
      <c r="W1" s="403"/>
      <c r="X1" s="403"/>
      <c r="Y1" s="403"/>
      <c r="Z1" s="403"/>
      <c r="AA1" s="403"/>
      <c r="AB1" s="403"/>
      <c r="AC1" s="403"/>
      <c r="AD1" s="403"/>
    </row>
    <row r="2" spans="2:30" ht="3.75" customHeight="1" thickBot="1" x14ac:dyDescent="0.25">
      <c r="B2" s="3"/>
      <c r="C2" s="4"/>
      <c r="D2" s="4"/>
      <c r="E2" s="4"/>
      <c r="F2" s="4"/>
      <c r="G2" s="4"/>
      <c r="H2" s="4"/>
      <c r="I2" s="4"/>
      <c r="J2" s="4"/>
      <c r="K2" s="4"/>
      <c r="L2" s="4"/>
      <c r="M2" s="4"/>
      <c r="N2" s="4"/>
      <c r="O2" s="4"/>
      <c r="P2" s="4"/>
      <c r="Q2" s="4"/>
      <c r="R2" s="5"/>
      <c r="S2" s="5"/>
      <c r="T2" s="5"/>
      <c r="U2" s="5"/>
      <c r="V2" s="5"/>
      <c r="W2" s="5"/>
      <c r="X2" s="5"/>
      <c r="Y2" s="5"/>
      <c r="Z2" s="5"/>
      <c r="AA2" s="5"/>
      <c r="AB2" s="5"/>
      <c r="AC2" s="5"/>
      <c r="AD2" s="5"/>
    </row>
    <row r="3" spans="2:30" ht="30" customHeight="1" x14ac:dyDescent="0.2">
      <c r="B3" s="189" t="s">
        <v>325</v>
      </c>
      <c r="C3" s="190"/>
      <c r="D3" s="190"/>
      <c r="E3" s="190"/>
      <c r="F3" s="191"/>
      <c r="G3" s="192" t="s">
        <v>326</v>
      </c>
      <c r="H3" s="190"/>
      <c r="I3" s="190"/>
      <c r="J3" s="193"/>
      <c r="K3" s="6"/>
      <c r="L3" s="194" t="s">
        <v>327</v>
      </c>
      <c r="M3" s="195"/>
      <c r="N3" s="196"/>
      <c r="O3" s="427" t="s">
        <v>354</v>
      </c>
      <c r="P3" s="428"/>
      <c r="Q3" s="428"/>
      <c r="R3" s="428"/>
      <c r="S3" s="428"/>
      <c r="T3" s="428"/>
      <c r="U3" s="429"/>
      <c r="V3" s="200" t="s">
        <v>328</v>
      </c>
      <c r="W3" s="201"/>
      <c r="X3" s="202"/>
      <c r="Y3" s="430" t="s">
        <v>3765</v>
      </c>
      <c r="Z3" s="431"/>
      <c r="AA3" s="431"/>
      <c r="AB3" s="431"/>
      <c r="AC3" s="431"/>
      <c r="AD3" s="432"/>
    </row>
    <row r="4" spans="2:30" ht="25.5" customHeight="1" thickBot="1" x14ac:dyDescent="0.25">
      <c r="B4" s="213" t="s">
        <v>329</v>
      </c>
      <c r="C4" s="214"/>
      <c r="D4" s="214"/>
      <c r="E4" s="214"/>
      <c r="F4" s="215"/>
      <c r="G4" s="237">
        <f ca="1">TODAY()</f>
        <v>45831</v>
      </c>
      <c r="H4" s="238"/>
      <c r="I4" s="238"/>
      <c r="J4" s="239"/>
      <c r="K4" s="7"/>
      <c r="L4" s="219" t="s">
        <v>330</v>
      </c>
      <c r="M4" s="220"/>
      <c r="N4" s="221"/>
      <c r="O4" s="222"/>
      <c r="P4" s="223"/>
      <c r="Q4" s="223"/>
      <c r="R4" s="223"/>
      <c r="S4" s="223"/>
      <c r="T4" s="223"/>
      <c r="U4" s="224"/>
      <c r="V4" s="207" t="s">
        <v>331</v>
      </c>
      <c r="W4" s="208"/>
      <c r="X4" s="209"/>
      <c r="Y4" s="210"/>
      <c r="Z4" s="211"/>
      <c r="AA4" s="211"/>
      <c r="AB4" s="211"/>
      <c r="AC4" s="211"/>
      <c r="AD4" s="212"/>
    </row>
    <row r="5" spans="2:30" ht="6" customHeight="1" x14ac:dyDescent="0.2">
      <c r="B5" s="213" t="s">
        <v>332</v>
      </c>
      <c r="C5" s="214"/>
      <c r="D5" s="214"/>
      <c r="E5" s="214"/>
      <c r="F5" s="215"/>
      <c r="G5" s="237"/>
      <c r="H5" s="238"/>
      <c r="I5" s="238"/>
      <c r="J5" s="239"/>
      <c r="K5" s="7"/>
      <c r="L5" s="8"/>
      <c r="M5" s="8"/>
      <c r="N5" s="8"/>
      <c r="O5" s="8"/>
      <c r="P5" s="9"/>
      <c r="Q5" s="9"/>
      <c r="R5" s="9"/>
      <c r="S5" s="9"/>
      <c r="T5" s="9"/>
      <c r="U5" s="9"/>
      <c r="V5" s="10"/>
      <c r="W5" s="10"/>
      <c r="X5" s="10"/>
      <c r="Y5" s="11"/>
      <c r="Z5" s="11"/>
      <c r="AA5" s="11"/>
      <c r="AB5" s="11"/>
      <c r="AC5" s="11"/>
      <c r="AD5" s="11"/>
    </row>
    <row r="6" spans="2:30" ht="21" customHeight="1" x14ac:dyDescent="0.2">
      <c r="B6" s="234"/>
      <c r="C6" s="235"/>
      <c r="D6" s="235"/>
      <c r="E6" s="235"/>
      <c r="F6" s="236"/>
      <c r="G6" s="240"/>
      <c r="H6" s="241"/>
      <c r="I6" s="241"/>
      <c r="J6" s="242"/>
      <c r="K6" s="7"/>
      <c r="L6" s="243" t="s">
        <v>333</v>
      </c>
      <c r="M6" s="244"/>
      <c r="N6" s="244"/>
      <c r="O6" s="244"/>
      <c r="P6" s="244"/>
      <c r="Q6" s="244"/>
      <c r="R6" s="244"/>
      <c r="S6" s="244"/>
      <c r="T6" s="244"/>
      <c r="U6" s="244"/>
      <c r="V6" s="244"/>
      <c r="W6" s="244"/>
      <c r="X6" s="244"/>
      <c r="Y6" s="244"/>
      <c r="Z6" s="244"/>
      <c r="AA6" s="244"/>
      <c r="AB6" s="244"/>
      <c r="AC6" s="244"/>
      <c r="AD6" s="245"/>
    </row>
    <row r="7" spans="2:30" ht="25.5" customHeight="1" x14ac:dyDescent="0.2">
      <c r="B7" s="246" t="s">
        <v>334</v>
      </c>
      <c r="C7" s="247"/>
      <c r="D7" s="247"/>
      <c r="E7" s="247"/>
      <c r="F7" s="248"/>
      <c r="G7" s="249"/>
      <c r="H7" s="250"/>
      <c r="I7" s="250"/>
      <c r="J7" s="251"/>
      <c r="K7" s="7"/>
      <c r="L7" s="553" t="s">
        <v>2696</v>
      </c>
      <c r="M7" s="505"/>
      <c r="N7" s="505"/>
      <c r="O7" s="505"/>
      <c r="P7" s="505"/>
      <c r="Q7" s="505"/>
      <c r="R7" s="505"/>
      <c r="S7" s="505"/>
      <c r="T7" s="505"/>
      <c r="U7" s="505"/>
      <c r="V7" s="505"/>
      <c r="W7" s="505"/>
      <c r="X7" s="505"/>
      <c r="Y7" s="505"/>
      <c r="Z7" s="505"/>
      <c r="AA7" s="505"/>
      <c r="AB7" s="505"/>
      <c r="AC7" s="505"/>
      <c r="AD7" s="506"/>
    </row>
    <row r="8" spans="2:30" ht="25.5" customHeight="1" x14ac:dyDescent="0.2">
      <c r="B8" s="246" t="s">
        <v>335</v>
      </c>
      <c r="C8" s="247"/>
      <c r="D8" s="247"/>
      <c r="E8" s="247"/>
      <c r="F8" s="248"/>
      <c r="G8" s="252"/>
      <c r="H8" s="253"/>
      <c r="I8" s="253"/>
      <c r="J8" s="254"/>
      <c r="K8" s="7"/>
      <c r="L8" s="504"/>
      <c r="M8" s="505"/>
      <c r="N8" s="505"/>
      <c r="O8" s="505"/>
      <c r="P8" s="505"/>
      <c r="Q8" s="505"/>
      <c r="R8" s="505"/>
      <c r="S8" s="505"/>
      <c r="T8" s="505"/>
      <c r="U8" s="505"/>
      <c r="V8" s="505"/>
      <c r="W8" s="505"/>
      <c r="X8" s="505"/>
      <c r="Y8" s="505"/>
      <c r="Z8" s="505"/>
      <c r="AA8" s="505"/>
      <c r="AB8" s="505"/>
      <c r="AC8" s="505"/>
      <c r="AD8" s="506"/>
    </row>
    <row r="9" spans="2:30" ht="10.5" customHeight="1" x14ac:dyDescent="0.2">
      <c r="B9" s="255" t="s">
        <v>336</v>
      </c>
      <c r="C9" s="256"/>
      <c r="D9" s="256"/>
      <c r="E9" s="256"/>
      <c r="F9" s="257"/>
      <c r="G9" s="261"/>
      <c r="H9" s="262"/>
      <c r="I9" s="262"/>
      <c r="J9" s="263"/>
      <c r="K9" s="7"/>
      <c r="L9" s="504"/>
      <c r="M9" s="505"/>
      <c r="N9" s="505"/>
      <c r="O9" s="505"/>
      <c r="P9" s="505"/>
      <c r="Q9" s="505"/>
      <c r="R9" s="505"/>
      <c r="S9" s="505"/>
      <c r="T9" s="505"/>
      <c r="U9" s="505"/>
      <c r="V9" s="505"/>
      <c r="W9" s="505"/>
      <c r="X9" s="505"/>
      <c r="Y9" s="505"/>
      <c r="Z9" s="505"/>
      <c r="AA9" s="505"/>
      <c r="AB9" s="505"/>
      <c r="AC9" s="505"/>
      <c r="AD9" s="506"/>
    </row>
    <row r="10" spans="2:30" ht="15" customHeight="1" thickBot="1" x14ac:dyDescent="0.25">
      <c r="B10" s="258"/>
      <c r="C10" s="259"/>
      <c r="D10" s="259"/>
      <c r="E10" s="259"/>
      <c r="F10" s="260"/>
      <c r="G10" s="264"/>
      <c r="H10" s="265"/>
      <c r="I10" s="265"/>
      <c r="J10" s="266"/>
      <c r="K10" s="7"/>
      <c r="L10" s="406" t="s">
        <v>337</v>
      </c>
      <c r="M10" s="407"/>
      <c r="N10" s="407"/>
      <c r="O10" s="407"/>
      <c r="P10" s="407"/>
      <c r="Q10" s="407"/>
      <c r="R10" s="407"/>
      <c r="S10" s="407"/>
      <c r="T10" s="407"/>
      <c r="U10" s="407"/>
      <c r="V10" s="407"/>
      <c r="W10" s="407"/>
      <c r="X10" s="407"/>
      <c r="Y10" s="407"/>
      <c r="Z10" s="407"/>
      <c r="AA10" s="407"/>
      <c r="AB10" s="407"/>
      <c r="AC10" s="407"/>
      <c r="AD10" s="408"/>
    </row>
    <row r="11" spans="2:30" ht="17.25" customHeight="1" x14ac:dyDescent="0.2">
      <c r="B11" s="267"/>
      <c r="C11" s="267"/>
      <c r="D11" s="267"/>
      <c r="E11" s="267"/>
      <c r="F11" s="267"/>
      <c r="G11" s="267"/>
      <c r="H11" s="267"/>
      <c r="I11" s="267"/>
      <c r="J11" s="267"/>
      <c r="K11" s="267"/>
      <c r="L11" s="267"/>
      <c r="M11" s="267"/>
      <c r="N11" s="267"/>
      <c r="O11" s="267"/>
      <c r="P11" s="267"/>
      <c r="Q11" s="267"/>
      <c r="R11" s="267"/>
      <c r="S11" s="267"/>
      <c r="T11" s="267"/>
      <c r="U11" s="267"/>
      <c r="V11" s="267"/>
      <c r="W11" s="267"/>
      <c r="X11" s="267"/>
      <c r="Y11" s="267"/>
      <c r="Z11" s="267"/>
      <c r="AA11" s="267"/>
      <c r="AB11" s="267"/>
      <c r="AC11" s="267"/>
      <c r="AD11" s="267"/>
    </row>
    <row r="12" spans="2:30" ht="6" customHeight="1" thickBot="1" x14ac:dyDescent="0.25">
      <c r="B12" s="12"/>
      <c r="C12" s="12"/>
      <c r="D12" s="12"/>
      <c r="E12" s="12"/>
      <c r="F12" s="12"/>
      <c r="G12" s="12"/>
      <c r="H12" s="12"/>
      <c r="I12" s="12"/>
      <c r="J12" s="12"/>
      <c r="K12" s="12"/>
      <c r="L12" s="12"/>
      <c r="M12" s="12"/>
      <c r="N12" s="12"/>
      <c r="O12" s="12"/>
      <c r="P12" s="12"/>
      <c r="Q12" s="12"/>
      <c r="R12" s="12"/>
      <c r="S12" s="12"/>
      <c r="T12" s="12"/>
      <c r="U12" s="12"/>
      <c r="V12" s="12"/>
      <c r="W12" s="12"/>
      <c r="X12" s="12"/>
      <c r="Y12" s="12"/>
      <c r="Z12" s="12"/>
      <c r="AA12" s="12"/>
      <c r="AB12" s="12"/>
      <c r="AC12" s="12"/>
      <c r="AD12" s="12"/>
    </row>
    <row r="13" spans="2:30" ht="17.25" customHeight="1" x14ac:dyDescent="0.2">
      <c r="B13" s="268" t="s">
        <v>338</v>
      </c>
      <c r="C13" s="269"/>
      <c r="D13" s="269"/>
      <c r="E13" s="269"/>
      <c r="F13" s="269"/>
      <c r="G13" s="270"/>
      <c r="H13" s="456" t="s">
        <v>339</v>
      </c>
      <c r="I13" s="457"/>
      <c r="J13" s="457"/>
      <c r="K13" s="457"/>
      <c r="L13" s="457"/>
      <c r="M13" s="457"/>
      <c r="N13" s="457"/>
      <c r="O13" s="457"/>
      <c r="P13" s="457"/>
      <c r="Q13" s="457"/>
      <c r="R13" s="457"/>
      <c r="S13" s="457"/>
      <c r="T13" s="457"/>
      <c r="U13" s="457"/>
      <c r="V13" s="457"/>
      <c r="W13" s="457"/>
      <c r="X13" s="457"/>
      <c r="Y13" s="457"/>
      <c r="Z13" s="457"/>
      <c r="AA13" s="457"/>
      <c r="AB13" s="457"/>
      <c r="AC13" s="457"/>
      <c r="AD13" s="458"/>
    </row>
    <row r="14" spans="2:30" ht="17.25" customHeight="1" x14ac:dyDescent="0.2">
      <c r="B14" s="271"/>
      <c r="C14" s="272"/>
      <c r="D14" s="272"/>
      <c r="E14" s="272"/>
      <c r="F14" s="272"/>
      <c r="G14" s="273"/>
      <c r="H14" s="459" t="s">
        <v>2719</v>
      </c>
      <c r="I14" s="460"/>
      <c r="J14" s="460"/>
      <c r="K14" s="460"/>
      <c r="L14" s="460"/>
      <c r="M14" s="460"/>
      <c r="N14" s="460"/>
      <c r="O14" s="460"/>
      <c r="P14" s="460"/>
      <c r="Q14" s="460"/>
      <c r="R14" s="460"/>
      <c r="S14" s="460"/>
      <c r="T14" s="460"/>
      <c r="U14" s="460"/>
      <c r="V14" s="460"/>
      <c r="W14" s="460"/>
      <c r="X14" s="460"/>
      <c r="Y14" s="460"/>
      <c r="Z14" s="460"/>
      <c r="AA14" s="460"/>
      <c r="AB14" s="460"/>
      <c r="AC14" s="460"/>
      <c r="AD14" s="461"/>
    </row>
    <row r="15" spans="2:30" ht="15.75" customHeight="1" x14ac:dyDescent="0.2">
      <c r="B15" s="271"/>
      <c r="C15" s="272"/>
      <c r="D15" s="272"/>
      <c r="E15" s="272"/>
      <c r="F15" s="272"/>
      <c r="G15" s="273"/>
      <c r="H15" s="462" t="s">
        <v>341</v>
      </c>
      <c r="I15" s="463"/>
      <c r="J15" s="463"/>
      <c r="K15" s="463"/>
      <c r="L15" s="463"/>
      <c r="M15" s="463"/>
      <c r="N15" s="463"/>
      <c r="O15" s="463"/>
      <c r="P15" s="463"/>
      <c r="Q15" s="463"/>
      <c r="R15" s="463"/>
      <c r="S15" s="463"/>
      <c r="T15" s="463"/>
      <c r="U15" s="463"/>
      <c r="V15" s="463"/>
      <c r="W15" s="463"/>
      <c r="X15" s="463"/>
      <c r="Y15" s="463"/>
      <c r="Z15" s="463"/>
      <c r="AA15" s="463"/>
      <c r="AB15" s="463"/>
      <c r="AC15" s="463"/>
      <c r="AD15" s="464"/>
    </row>
    <row r="16" spans="2:30" ht="17.25" customHeight="1" x14ac:dyDescent="0.2">
      <c r="B16" s="271"/>
      <c r="C16" s="272"/>
      <c r="D16" s="272"/>
      <c r="E16" s="272"/>
      <c r="F16" s="272"/>
      <c r="G16" s="273"/>
      <c r="H16" s="468" t="s">
        <v>738</v>
      </c>
      <c r="I16" s="460"/>
      <c r="J16" s="460"/>
      <c r="K16" s="460"/>
      <c r="L16" s="460"/>
      <c r="M16" s="460"/>
      <c r="N16" s="469" t="str">
        <f>IF(C1=メーカー加工場!B8,メーカー加工場!K75,メーカー加工場!K74)</f>
        <v>※送り主を弊社に変更、もしくは備考欄に明記して下さい。※</v>
      </c>
      <c r="O16" s="469"/>
      <c r="P16" s="469"/>
      <c r="Q16" s="469"/>
      <c r="R16" s="469"/>
      <c r="S16" s="469"/>
      <c r="T16" s="469"/>
      <c r="U16" s="469"/>
      <c r="V16" s="469"/>
      <c r="W16" s="469"/>
      <c r="X16" s="469"/>
      <c r="Y16" s="469"/>
      <c r="Z16" s="469"/>
      <c r="AA16" s="469"/>
      <c r="AB16" s="469"/>
      <c r="AC16" s="469"/>
      <c r="AD16" s="470"/>
    </row>
    <row r="17" spans="2:35" ht="105" customHeight="1" x14ac:dyDescent="0.2">
      <c r="B17" s="436"/>
      <c r="C17" s="437"/>
      <c r="D17" s="437"/>
      <c r="E17" s="437"/>
      <c r="F17" s="437"/>
      <c r="G17" s="438"/>
      <c r="H17" s="550"/>
      <c r="I17" s="551"/>
      <c r="J17" s="551"/>
      <c r="K17" s="551"/>
      <c r="L17" s="551"/>
      <c r="M17" s="551"/>
      <c r="N17" s="551"/>
      <c r="O17" s="551"/>
      <c r="P17" s="551"/>
      <c r="Q17" s="551"/>
      <c r="R17" s="551"/>
      <c r="S17" s="551"/>
      <c r="T17" s="551"/>
      <c r="U17" s="551"/>
      <c r="V17" s="551"/>
      <c r="W17" s="551"/>
      <c r="X17" s="551"/>
      <c r="Y17" s="551"/>
      <c r="Z17" s="551"/>
      <c r="AA17" s="551"/>
      <c r="AB17" s="551"/>
      <c r="AC17" s="551"/>
      <c r="AD17" s="552"/>
      <c r="AG17" s="447" t="s">
        <v>1829</v>
      </c>
      <c r="AH17" s="447"/>
      <c r="AI17" s="447"/>
    </row>
    <row r="18" spans="2:35" ht="17.25" customHeight="1" x14ac:dyDescent="0.2">
      <c r="B18" s="292" t="s">
        <v>342</v>
      </c>
      <c r="C18" s="293"/>
      <c r="D18" s="293"/>
      <c r="E18" s="293"/>
      <c r="F18" s="293"/>
      <c r="G18" s="293"/>
      <c r="H18" s="13"/>
      <c r="I18" s="473"/>
      <c r="J18" s="473"/>
      <c r="K18" s="473"/>
      <c r="L18" s="473"/>
      <c r="M18" s="473"/>
      <c r="N18" s="473"/>
      <c r="O18" s="473"/>
      <c r="P18" s="244" t="s">
        <v>343</v>
      </c>
      <c r="Q18" s="244"/>
      <c r="R18" s="244"/>
      <c r="S18" s="244"/>
      <c r="T18" s="475"/>
      <c r="U18" s="448" t="s">
        <v>344</v>
      </c>
      <c r="V18" s="449"/>
      <c r="W18" s="449"/>
      <c r="X18" s="449"/>
      <c r="Y18" s="452" t="s">
        <v>1835</v>
      </c>
      <c r="Z18" s="452"/>
      <c r="AA18" s="452"/>
      <c r="AB18" s="452"/>
      <c r="AC18" s="452"/>
      <c r="AD18" s="453"/>
    </row>
    <row r="19" spans="2:35" ht="17.25" customHeight="1" x14ac:dyDescent="0.2">
      <c r="B19" s="471"/>
      <c r="C19" s="472"/>
      <c r="D19" s="472"/>
      <c r="E19" s="472"/>
      <c r="F19" s="472"/>
      <c r="G19" s="472"/>
      <c r="H19" s="14"/>
      <c r="I19" s="474"/>
      <c r="J19" s="474"/>
      <c r="K19" s="474"/>
      <c r="L19" s="474"/>
      <c r="M19" s="474"/>
      <c r="N19" s="474"/>
      <c r="O19" s="474"/>
      <c r="P19" s="476" t="s">
        <v>345</v>
      </c>
      <c r="Q19" s="476"/>
      <c r="R19" s="476"/>
      <c r="S19" s="476"/>
      <c r="T19" s="477"/>
      <c r="U19" s="450"/>
      <c r="V19" s="451"/>
      <c r="W19" s="451"/>
      <c r="X19" s="451"/>
      <c r="Y19" s="454"/>
      <c r="Z19" s="454"/>
      <c r="AA19" s="454"/>
      <c r="AB19" s="454"/>
      <c r="AC19" s="454"/>
      <c r="AD19" s="455"/>
    </row>
    <row r="20" spans="2:35" ht="13.5" customHeight="1" x14ac:dyDescent="0.2">
      <c r="B20" s="295"/>
      <c r="C20" s="296"/>
      <c r="D20" s="296"/>
      <c r="E20" s="296"/>
      <c r="F20" s="296"/>
      <c r="G20" s="296"/>
      <c r="H20" s="310" t="s">
        <v>346</v>
      </c>
      <c r="I20" s="311"/>
      <c r="J20" s="311"/>
      <c r="K20" s="311"/>
      <c r="L20" s="311"/>
      <c r="M20" s="311"/>
      <c r="N20" s="311"/>
      <c r="O20" s="311"/>
      <c r="P20" s="311"/>
      <c r="Q20" s="311"/>
      <c r="R20" s="311"/>
      <c r="S20" s="311"/>
      <c r="T20" s="311"/>
      <c r="U20" s="311"/>
      <c r="V20" s="311"/>
      <c r="W20" s="311"/>
      <c r="X20" s="311"/>
      <c r="Y20" s="311"/>
      <c r="Z20" s="311"/>
      <c r="AA20" s="311"/>
      <c r="AB20" s="311"/>
      <c r="AC20" s="311"/>
      <c r="AD20" s="312"/>
    </row>
    <row r="21" spans="2:35" ht="34.5" customHeight="1" thickBot="1" x14ac:dyDescent="0.25">
      <c r="B21" s="313" t="s">
        <v>347</v>
      </c>
      <c r="C21" s="314"/>
      <c r="D21" s="314"/>
      <c r="E21" s="314"/>
      <c r="F21" s="314"/>
      <c r="G21" s="315"/>
      <c r="H21" s="67"/>
      <c r="I21" s="68" t="s">
        <v>2718</v>
      </c>
      <c r="J21" s="549" t="s">
        <v>3766</v>
      </c>
      <c r="K21" s="549"/>
      <c r="L21" s="549"/>
      <c r="M21" s="549"/>
      <c r="N21" s="549"/>
      <c r="O21" s="445" t="s">
        <v>348</v>
      </c>
      <c r="P21" s="445"/>
      <c r="Q21" s="445"/>
      <c r="R21" s="445"/>
      <c r="S21" s="445"/>
      <c r="T21" s="446" t="s">
        <v>349</v>
      </c>
      <c r="U21" s="446"/>
      <c r="V21" s="446"/>
      <c r="W21" s="321" t="s">
        <v>3765</v>
      </c>
      <c r="X21" s="321"/>
      <c r="Y21" s="321"/>
      <c r="Z21" s="321"/>
      <c r="AA21" s="321"/>
      <c r="AB21" s="479" t="s">
        <v>350</v>
      </c>
      <c r="AC21" s="479"/>
      <c r="AD21" s="480"/>
    </row>
    <row r="22" spans="2:35" ht="6" customHeight="1" thickBot="1" x14ac:dyDescent="0.25">
      <c r="B22" s="15"/>
      <c r="C22" s="15"/>
      <c r="D22" s="15"/>
      <c r="E22" s="15"/>
      <c r="F22" s="15"/>
      <c r="G22" s="15"/>
      <c r="H22" s="15"/>
      <c r="I22" s="15"/>
      <c r="J22" s="15"/>
      <c r="K22" s="15"/>
      <c r="L22" s="15"/>
      <c r="M22" s="15"/>
      <c r="N22" s="15"/>
      <c r="O22" s="15"/>
      <c r="P22" s="15"/>
      <c r="Q22" s="15"/>
      <c r="R22" s="15"/>
      <c r="S22" s="15"/>
      <c r="T22" s="15"/>
      <c r="U22" s="15"/>
      <c r="V22" s="15"/>
      <c r="W22" s="15"/>
      <c r="X22" s="15"/>
      <c r="Y22" s="15"/>
      <c r="Z22" s="15"/>
      <c r="AA22" s="15"/>
      <c r="AB22" s="15"/>
      <c r="AC22" s="15"/>
      <c r="AD22" s="15"/>
    </row>
    <row r="23" spans="2:35" ht="24.75" customHeight="1" thickBot="1" x14ac:dyDescent="0.25">
      <c r="B23" s="324" t="s">
        <v>351</v>
      </c>
      <c r="C23" s="325"/>
      <c r="D23" s="325"/>
      <c r="E23" s="325"/>
      <c r="F23" s="325"/>
      <c r="G23" s="325"/>
      <c r="H23" s="325" t="s">
        <v>357</v>
      </c>
      <c r="I23" s="325"/>
      <c r="J23" s="325"/>
      <c r="K23" s="325"/>
      <c r="L23" s="325"/>
      <c r="M23" s="325"/>
      <c r="N23" s="325"/>
      <c r="O23" s="325"/>
      <c r="P23" s="325"/>
      <c r="Q23" s="325"/>
      <c r="R23" s="325"/>
      <c r="S23" s="325" t="s">
        <v>356</v>
      </c>
      <c r="T23" s="325"/>
      <c r="U23" s="325"/>
      <c r="V23" s="325"/>
      <c r="W23" s="325"/>
      <c r="X23" s="325"/>
      <c r="Y23" s="22" t="s">
        <v>355</v>
      </c>
      <c r="Z23" s="17"/>
      <c r="AA23" s="339">
        <f>SUM(Y24:Y38)</f>
        <v>0</v>
      </c>
      <c r="AB23" s="340"/>
      <c r="AC23" s="340"/>
      <c r="AD23" s="341"/>
    </row>
    <row r="24" spans="2:35" ht="20.25" customHeight="1" x14ac:dyDescent="0.2">
      <c r="B24" s="328">
        <v>1</v>
      </c>
      <c r="C24" s="329"/>
      <c r="D24" s="330"/>
      <c r="E24" s="330"/>
      <c r="F24" s="330"/>
      <c r="G24" s="330"/>
      <c r="H24" s="333"/>
      <c r="I24" s="333"/>
      <c r="J24" s="333"/>
      <c r="K24" s="333"/>
      <c r="L24" s="333"/>
      <c r="M24" s="333"/>
      <c r="N24" s="333"/>
      <c r="O24" s="333"/>
      <c r="P24" s="333"/>
      <c r="Q24" s="333"/>
      <c r="R24" s="333"/>
      <c r="S24" s="333"/>
      <c r="T24" s="333"/>
      <c r="U24" s="333"/>
      <c r="V24" s="478"/>
      <c r="W24" s="331"/>
      <c r="X24" s="332"/>
      <c r="Y24" s="19"/>
      <c r="Z24" s="17"/>
      <c r="AA24" s="18"/>
      <c r="AB24" s="18"/>
      <c r="AC24" s="18"/>
      <c r="AD24" s="18"/>
    </row>
    <row r="25" spans="2:35" ht="20.25" customHeight="1" x14ac:dyDescent="0.15">
      <c r="B25" s="349">
        <v>2</v>
      </c>
      <c r="C25" s="350"/>
      <c r="D25" s="351"/>
      <c r="E25" s="352"/>
      <c r="F25" s="352"/>
      <c r="G25" s="353"/>
      <c r="H25" s="342"/>
      <c r="I25" s="343"/>
      <c r="J25" s="343"/>
      <c r="K25" s="343"/>
      <c r="L25" s="343"/>
      <c r="M25" s="343"/>
      <c r="N25" s="343"/>
      <c r="O25" s="343"/>
      <c r="P25" s="343"/>
      <c r="Q25" s="343"/>
      <c r="R25" s="354"/>
      <c r="S25" s="342"/>
      <c r="T25" s="343"/>
      <c r="U25" s="343"/>
      <c r="V25" s="344"/>
      <c r="W25" s="345"/>
      <c r="X25" s="346"/>
      <c r="Y25" s="20"/>
      <c r="Z25" s="15"/>
      <c r="AA25" s="15"/>
      <c r="AB25" s="15"/>
      <c r="AC25" s="15"/>
      <c r="AD25" s="16"/>
    </row>
    <row r="26" spans="2:35" ht="20.25" customHeight="1" x14ac:dyDescent="0.15">
      <c r="B26" s="349">
        <v>3</v>
      </c>
      <c r="C26" s="350"/>
      <c r="D26" s="351"/>
      <c r="E26" s="352"/>
      <c r="F26" s="352"/>
      <c r="G26" s="353"/>
      <c r="H26" s="342"/>
      <c r="I26" s="343"/>
      <c r="J26" s="343"/>
      <c r="K26" s="343"/>
      <c r="L26" s="343"/>
      <c r="M26" s="343"/>
      <c r="N26" s="343"/>
      <c r="O26" s="343"/>
      <c r="P26" s="343"/>
      <c r="Q26" s="343"/>
      <c r="R26" s="354"/>
      <c r="S26" s="342"/>
      <c r="T26" s="343"/>
      <c r="U26" s="343"/>
      <c r="V26" s="344"/>
      <c r="W26" s="345"/>
      <c r="X26" s="346"/>
      <c r="Y26" s="20"/>
      <c r="Z26" s="15"/>
      <c r="AA26" s="15"/>
      <c r="AB26" s="15"/>
      <c r="AC26" s="15"/>
      <c r="AD26" s="16"/>
    </row>
    <row r="27" spans="2:35" ht="20.25" customHeight="1" x14ac:dyDescent="0.15">
      <c r="B27" s="349">
        <v>4</v>
      </c>
      <c r="C27" s="350"/>
      <c r="D27" s="351"/>
      <c r="E27" s="352"/>
      <c r="F27" s="352"/>
      <c r="G27" s="353"/>
      <c r="H27" s="342"/>
      <c r="I27" s="343"/>
      <c r="J27" s="343"/>
      <c r="K27" s="343"/>
      <c r="L27" s="343"/>
      <c r="M27" s="343"/>
      <c r="N27" s="343"/>
      <c r="O27" s="343"/>
      <c r="P27" s="343"/>
      <c r="Q27" s="343"/>
      <c r="R27" s="354"/>
      <c r="S27" s="342"/>
      <c r="T27" s="343"/>
      <c r="U27" s="343"/>
      <c r="V27" s="344"/>
      <c r="W27" s="345"/>
      <c r="X27" s="346"/>
      <c r="Y27" s="20"/>
      <c r="Z27" s="15"/>
      <c r="AA27" s="15"/>
      <c r="AB27" s="15"/>
      <c r="AC27" s="15"/>
      <c r="AD27" s="16"/>
    </row>
    <row r="28" spans="2:35" ht="20.25" customHeight="1" x14ac:dyDescent="0.15">
      <c r="B28" s="349">
        <v>5</v>
      </c>
      <c r="C28" s="350"/>
      <c r="D28" s="351"/>
      <c r="E28" s="352"/>
      <c r="F28" s="352"/>
      <c r="G28" s="353"/>
      <c r="H28" s="342"/>
      <c r="I28" s="343"/>
      <c r="J28" s="343"/>
      <c r="K28" s="343"/>
      <c r="L28" s="343"/>
      <c r="M28" s="343"/>
      <c r="N28" s="343"/>
      <c r="O28" s="343"/>
      <c r="P28" s="343"/>
      <c r="Q28" s="343"/>
      <c r="R28" s="354"/>
      <c r="S28" s="342"/>
      <c r="T28" s="343"/>
      <c r="U28" s="343"/>
      <c r="V28" s="344"/>
      <c r="W28" s="345"/>
      <c r="X28" s="346"/>
      <c r="Y28" s="20"/>
      <c r="Z28" s="15"/>
      <c r="AA28" s="15"/>
      <c r="AB28" s="15"/>
      <c r="AC28" s="15"/>
      <c r="AD28" s="16"/>
    </row>
    <row r="29" spans="2:35" ht="20.25" customHeight="1" x14ac:dyDescent="0.15">
      <c r="B29" s="349">
        <v>6</v>
      </c>
      <c r="C29" s="350"/>
      <c r="D29" s="351"/>
      <c r="E29" s="352"/>
      <c r="F29" s="352"/>
      <c r="G29" s="353"/>
      <c r="H29" s="342"/>
      <c r="I29" s="343"/>
      <c r="J29" s="343"/>
      <c r="K29" s="343"/>
      <c r="L29" s="343"/>
      <c r="M29" s="343"/>
      <c r="N29" s="343"/>
      <c r="O29" s="343"/>
      <c r="P29" s="343"/>
      <c r="Q29" s="343"/>
      <c r="R29" s="354"/>
      <c r="S29" s="342"/>
      <c r="T29" s="343"/>
      <c r="U29" s="343"/>
      <c r="V29" s="344"/>
      <c r="W29" s="345"/>
      <c r="X29" s="346"/>
      <c r="Y29" s="20"/>
      <c r="Z29" s="15"/>
      <c r="AA29" s="15"/>
      <c r="AB29" s="15"/>
      <c r="AC29" s="15"/>
      <c r="AD29" s="16"/>
    </row>
    <row r="30" spans="2:35" ht="20.25" customHeight="1" x14ac:dyDescent="0.15">
      <c r="B30" s="349">
        <v>7</v>
      </c>
      <c r="C30" s="350"/>
      <c r="D30" s="351"/>
      <c r="E30" s="352"/>
      <c r="F30" s="352"/>
      <c r="G30" s="353"/>
      <c r="H30" s="342"/>
      <c r="I30" s="343"/>
      <c r="J30" s="343"/>
      <c r="K30" s="343"/>
      <c r="L30" s="343"/>
      <c r="M30" s="343"/>
      <c r="N30" s="343"/>
      <c r="O30" s="343"/>
      <c r="P30" s="343"/>
      <c r="Q30" s="343"/>
      <c r="R30" s="354"/>
      <c r="S30" s="342"/>
      <c r="T30" s="343"/>
      <c r="U30" s="343"/>
      <c r="V30" s="344"/>
      <c r="W30" s="345"/>
      <c r="X30" s="346"/>
      <c r="Y30" s="20"/>
      <c r="Z30" s="15"/>
      <c r="AA30" s="15"/>
      <c r="AB30" s="15"/>
      <c r="AC30" s="15"/>
      <c r="AD30" s="16"/>
    </row>
    <row r="31" spans="2:35" ht="20.25" customHeight="1" x14ac:dyDescent="0.15">
      <c r="B31" s="349">
        <v>8</v>
      </c>
      <c r="C31" s="350"/>
      <c r="D31" s="351"/>
      <c r="E31" s="352"/>
      <c r="F31" s="352"/>
      <c r="G31" s="353"/>
      <c r="H31" s="342"/>
      <c r="I31" s="343"/>
      <c r="J31" s="343"/>
      <c r="K31" s="343"/>
      <c r="L31" s="343"/>
      <c r="M31" s="343"/>
      <c r="N31" s="343"/>
      <c r="O31" s="343"/>
      <c r="P31" s="343"/>
      <c r="Q31" s="343"/>
      <c r="R31" s="354"/>
      <c r="S31" s="342"/>
      <c r="T31" s="343"/>
      <c r="U31" s="343"/>
      <c r="V31" s="344"/>
      <c r="W31" s="345"/>
      <c r="X31" s="346"/>
      <c r="Y31" s="20"/>
      <c r="Z31" s="15"/>
      <c r="AA31" s="15"/>
      <c r="AB31" s="15"/>
      <c r="AC31" s="15"/>
      <c r="AD31" s="16"/>
    </row>
    <row r="32" spans="2:35" ht="20.25" customHeight="1" x14ac:dyDescent="0.15">
      <c r="B32" s="349">
        <v>9</v>
      </c>
      <c r="C32" s="350"/>
      <c r="D32" s="351"/>
      <c r="E32" s="352"/>
      <c r="F32" s="352"/>
      <c r="G32" s="353"/>
      <c r="H32" s="342"/>
      <c r="I32" s="343"/>
      <c r="J32" s="343"/>
      <c r="K32" s="343"/>
      <c r="L32" s="343"/>
      <c r="M32" s="343"/>
      <c r="N32" s="343"/>
      <c r="O32" s="343"/>
      <c r="P32" s="343"/>
      <c r="Q32" s="343"/>
      <c r="R32" s="354"/>
      <c r="S32" s="342"/>
      <c r="T32" s="343"/>
      <c r="U32" s="343"/>
      <c r="V32" s="344"/>
      <c r="W32" s="345"/>
      <c r="X32" s="346"/>
      <c r="Y32" s="20"/>
      <c r="Z32" s="15"/>
      <c r="AA32" s="15"/>
      <c r="AB32" s="15"/>
      <c r="AC32" s="15"/>
      <c r="AD32" s="16"/>
    </row>
    <row r="33" spans="2:30" ht="18.75" customHeight="1" x14ac:dyDescent="0.15">
      <c r="B33" s="349">
        <v>10</v>
      </c>
      <c r="C33" s="350"/>
      <c r="D33" s="351" t="str">
        <f>IF(メーカー加工場!$B$77=2,"",メーカー加工場!D121)</f>
        <v/>
      </c>
      <c r="E33" s="352"/>
      <c r="F33" s="352"/>
      <c r="G33" s="353"/>
      <c r="H33" s="342" t="str">
        <f>IF(メーカー加工場!$B$77=2,"",メーカー加工場!H121)</f>
        <v/>
      </c>
      <c r="I33" s="343"/>
      <c r="J33" s="343"/>
      <c r="K33" s="343"/>
      <c r="L33" s="343"/>
      <c r="M33" s="343"/>
      <c r="N33" s="343"/>
      <c r="O33" s="343"/>
      <c r="P33" s="343"/>
      <c r="Q33" s="343"/>
      <c r="R33" s="354"/>
      <c r="S33" s="342" t="str">
        <f>IF(メーカー加工場!$B$77=2,"",メーカー加工場!T121)</f>
        <v/>
      </c>
      <c r="T33" s="343"/>
      <c r="U33" s="343"/>
      <c r="V33" s="344"/>
      <c r="W33" s="345" t="str">
        <f>IF(メーカー加工場!Y121=0,"",IF(メーカー加工場!$B$77=2,"",メーカー加工場!Y121))</f>
        <v/>
      </c>
      <c r="X33" s="346"/>
      <c r="Y33" s="20" t="str">
        <f>IF(メーカー加工場!$B$77=2,"",メーカー加工場!AA121)</f>
        <v/>
      </c>
      <c r="Z33" s="15"/>
      <c r="AA33" s="15"/>
      <c r="AB33" s="15"/>
      <c r="AC33" s="15"/>
      <c r="AD33" s="16"/>
    </row>
    <row r="34" spans="2:30" ht="19.5" customHeight="1" x14ac:dyDescent="0.15">
      <c r="B34" s="349">
        <v>11</v>
      </c>
      <c r="C34" s="350"/>
      <c r="D34" s="351" t="str">
        <f>IF(メーカー加工場!$B$77=2,"",メーカー加工場!D122)</f>
        <v/>
      </c>
      <c r="E34" s="352"/>
      <c r="F34" s="352"/>
      <c r="G34" s="353"/>
      <c r="H34" s="342" t="str">
        <f>IF(メーカー加工場!$B$77=2,"",メーカー加工場!H122)</f>
        <v/>
      </c>
      <c r="I34" s="343"/>
      <c r="J34" s="343"/>
      <c r="K34" s="343"/>
      <c r="L34" s="343"/>
      <c r="M34" s="343"/>
      <c r="N34" s="343"/>
      <c r="O34" s="343"/>
      <c r="P34" s="343"/>
      <c r="Q34" s="343"/>
      <c r="R34" s="354"/>
      <c r="S34" s="342" t="str">
        <f>IF(メーカー加工場!$B$77=2,"",メーカー加工場!T122)</f>
        <v/>
      </c>
      <c r="T34" s="343"/>
      <c r="U34" s="343"/>
      <c r="V34" s="344"/>
      <c r="W34" s="345" t="str">
        <f>IF(メーカー加工場!Y122=0,"",IF(メーカー加工場!$B$77=2,"",メーカー加工場!Y122))</f>
        <v/>
      </c>
      <c r="X34" s="346"/>
      <c r="Y34" s="20" t="str">
        <f>IF(メーカー加工場!$B$77=2,"",メーカー加工場!AA122)</f>
        <v/>
      </c>
      <c r="Z34" s="15"/>
      <c r="AA34" s="15"/>
      <c r="AB34" s="15"/>
      <c r="AC34" s="15"/>
      <c r="AD34" s="16"/>
    </row>
    <row r="35" spans="2:30" ht="19.5" customHeight="1" x14ac:dyDescent="0.15">
      <c r="B35" s="349">
        <v>12</v>
      </c>
      <c r="C35" s="350"/>
      <c r="D35" s="351" t="str">
        <f>IF(メーカー加工場!$B$77=2,"",メーカー加工場!D123)</f>
        <v/>
      </c>
      <c r="E35" s="352"/>
      <c r="F35" s="352"/>
      <c r="G35" s="353"/>
      <c r="H35" s="342" t="str">
        <f>IF(メーカー加工場!$B$77=2,"",メーカー加工場!H123)</f>
        <v/>
      </c>
      <c r="I35" s="343"/>
      <c r="J35" s="343"/>
      <c r="K35" s="343"/>
      <c r="L35" s="343"/>
      <c r="M35" s="343"/>
      <c r="N35" s="343"/>
      <c r="O35" s="343"/>
      <c r="P35" s="343"/>
      <c r="Q35" s="343"/>
      <c r="R35" s="354"/>
      <c r="S35" s="342" t="str">
        <f>IF(メーカー加工場!$B$77=2,"",メーカー加工場!T123)</f>
        <v/>
      </c>
      <c r="T35" s="343"/>
      <c r="U35" s="343"/>
      <c r="V35" s="344"/>
      <c r="W35" s="345" t="str">
        <f>IF(メーカー加工場!Y123=0,"",IF(メーカー加工場!$B$77=2,"",メーカー加工場!Y123))</f>
        <v/>
      </c>
      <c r="X35" s="346"/>
      <c r="Y35" s="20" t="str">
        <f>IF(メーカー加工場!$B$77=2,"",メーカー加工場!AA123)</f>
        <v/>
      </c>
      <c r="Z35" s="15"/>
      <c r="AA35" s="15"/>
      <c r="AB35" s="15"/>
      <c r="AC35" s="15"/>
      <c r="AD35" s="16"/>
    </row>
    <row r="36" spans="2:30" ht="19.5" customHeight="1" x14ac:dyDescent="0.15">
      <c r="B36" s="349">
        <v>13</v>
      </c>
      <c r="C36" s="350"/>
      <c r="D36" s="351" t="str">
        <f>IF(メーカー加工場!$B$77=2,"",メーカー加工場!D124)</f>
        <v/>
      </c>
      <c r="E36" s="352"/>
      <c r="F36" s="352"/>
      <c r="G36" s="353"/>
      <c r="H36" s="342" t="str">
        <f>IF(メーカー加工場!$B$77=2,"",メーカー加工場!H124)</f>
        <v/>
      </c>
      <c r="I36" s="343"/>
      <c r="J36" s="343"/>
      <c r="K36" s="343"/>
      <c r="L36" s="343"/>
      <c r="M36" s="343"/>
      <c r="N36" s="343"/>
      <c r="O36" s="343"/>
      <c r="P36" s="343"/>
      <c r="Q36" s="343"/>
      <c r="R36" s="354"/>
      <c r="S36" s="342" t="str">
        <f>IF(メーカー加工場!$B$77=2,"",メーカー加工場!T124)</f>
        <v/>
      </c>
      <c r="T36" s="343"/>
      <c r="U36" s="343"/>
      <c r="V36" s="344"/>
      <c r="W36" s="345" t="str">
        <f>IF(メーカー加工場!Y124=0,"",IF(メーカー加工場!$B$77=2,"",メーカー加工場!Y124))</f>
        <v/>
      </c>
      <c r="X36" s="346"/>
      <c r="Y36" s="20" t="str">
        <f>IF(メーカー加工場!$B$77=2,"",メーカー加工場!AA124)</f>
        <v/>
      </c>
      <c r="Z36" s="15"/>
      <c r="AA36" s="15"/>
      <c r="AB36" s="15"/>
      <c r="AC36" s="15"/>
      <c r="AD36" s="16"/>
    </row>
    <row r="37" spans="2:30" ht="19.5" customHeight="1" x14ac:dyDescent="0.15">
      <c r="B37" s="349">
        <v>14</v>
      </c>
      <c r="C37" s="350"/>
      <c r="D37" s="351" t="str">
        <f>IF(メーカー加工場!$B$77=2,"",メーカー加工場!D125)</f>
        <v/>
      </c>
      <c r="E37" s="352"/>
      <c r="F37" s="352"/>
      <c r="G37" s="353"/>
      <c r="H37" s="342" t="str">
        <f>IF(メーカー加工場!$B$77=2,"",メーカー加工場!H125)</f>
        <v/>
      </c>
      <c r="I37" s="343"/>
      <c r="J37" s="343"/>
      <c r="K37" s="343"/>
      <c r="L37" s="343"/>
      <c r="M37" s="343"/>
      <c r="N37" s="343"/>
      <c r="O37" s="343"/>
      <c r="P37" s="343"/>
      <c r="Q37" s="343"/>
      <c r="R37" s="354"/>
      <c r="S37" s="342" t="str">
        <f>IF(メーカー加工場!$B$77=2,"",メーカー加工場!T125)</f>
        <v/>
      </c>
      <c r="T37" s="343"/>
      <c r="U37" s="343"/>
      <c r="V37" s="344"/>
      <c r="W37" s="345" t="str">
        <f>IF(メーカー加工場!Y125=0,"",IF(メーカー加工場!$B$77=2,"",メーカー加工場!Y125))</f>
        <v/>
      </c>
      <c r="X37" s="346"/>
      <c r="Y37" s="20" t="str">
        <f>IF(メーカー加工場!$B$77=2,"",メーカー加工場!AA125)</f>
        <v/>
      </c>
      <c r="Z37" s="15"/>
      <c r="AA37" s="15"/>
      <c r="AB37" s="15"/>
      <c r="AC37" s="15"/>
      <c r="AD37" s="16"/>
    </row>
    <row r="38" spans="2:30" ht="19.5" customHeight="1" thickBot="1" x14ac:dyDescent="0.2">
      <c r="B38" s="492">
        <v>15</v>
      </c>
      <c r="C38" s="493"/>
      <c r="D38" s="372" t="str">
        <f>IF(メーカー加工場!$B$77=2,"",メーカー加工場!D126)</f>
        <v/>
      </c>
      <c r="E38" s="373"/>
      <c r="F38" s="373"/>
      <c r="G38" s="374"/>
      <c r="H38" s="375" t="str">
        <f>IF(メーカー加工場!$B$77=2,"",メーカー加工場!H126)</f>
        <v/>
      </c>
      <c r="I38" s="376"/>
      <c r="J38" s="376"/>
      <c r="K38" s="376"/>
      <c r="L38" s="376"/>
      <c r="M38" s="376"/>
      <c r="N38" s="376"/>
      <c r="O38" s="376"/>
      <c r="P38" s="376"/>
      <c r="Q38" s="376"/>
      <c r="R38" s="377"/>
      <c r="S38" s="375" t="str">
        <f>IF(メーカー加工場!$B$77=2,"",メーカー加工場!T126)</f>
        <v/>
      </c>
      <c r="T38" s="376"/>
      <c r="U38" s="376"/>
      <c r="V38" s="380"/>
      <c r="W38" s="381" t="str">
        <f>IF(メーカー加工場!Y126=0,"",IF(メーカー加工場!$B$77=2,"",メーカー加工場!Y126))</f>
        <v/>
      </c>
      <c r="X38" s="382"/>
      <c r="Y38" s="21" t="str">
        <f>IF(メーカー加工場!$B$77=2,"",メーカー加工場!AA126)</f>
        <v/>
      </c>
      <c r="Z38" s="15"/>
      <c r="AA38" s="15"/>
      <c r="AB38" s="15"/>
      <c r="AC38" s="15"/>
      <c r="AD38" s="16"/>
    </row>
    <row r="39" spans="2:30" ht="4.5" customHeight="1" thickBot="1" x14ac:dyDescent="0.25">
      <c r="B39" s="15"/>
      <c r="C39" s="15"/>
      <c r="D39" s="15"/>
      <c r="E39" s="15"/>
      <c r="F39" s="15"/>
      <c r="G39" s="15"/>
      <c r="H39" s="15"/>
      <c r="I39" s="15"/>
      <c r="J39" s="15"/>
      <c r="K39" s="15"/>
      <c r="L39" s="15"/>
      <c r="M39" s="15"/>
      <c r="N39" s="15"/>
      <c r="O39" s="15"/>
      <c r="P39" s="15"/>
      <c r="Q39" s="15"/>
      <c r="R39" s="15"/>
      <c r="S39" s="15"/>
      <c r="T39" s="15"/>
      <c r="U39" s="15"/>
      <c r="V39" s="15"/>
      <c r="W39" s="15"/>
      <c r="X39" s="15"/>
      <c r="Y39" s="15"/>
      <c r="Z39" s="15"/>
      <c r="AA39" s="15"/>
      <c r="AB39" s="15"/>
      <c r="AC39" s="15"/>
      <c r="AD39" s="15"/>
    </row>
    <row r="40" spans="2:30" ht="20.25" customHeight="1" thickTop="1" x14ac:dyDescent="0.2">
      <c r="B40" s="355" t="s">
        <v>352</v>
      </c>
      <c r="C40" s="356"/>
      <c r="D40" s="356"/>
      <c r="E40" s="356"/>
      <c r="F40" s="356"/>
      <c r="G40" s="356"/>
      <c r="H40" s="483" t="s">
        <v>353</v>
      </c>
      <c r="I40" s="484"/>
      <c r="J40" s="484"/>
      <c r="K40" s="484"/>
      <c r="L40" s="484"/>
      <c r="M40" s="484"/>
      <c r="N40" s="484"/>
      <c r="O40" s="484"/>
      <c r="P40" s="484"/>
      <c r="Q40" s="484"/>
      <c r="R40" s="484"/>
      <c r="S40" s="484"/>
      <c r="T40" s="484"/>
      <c r="U40" s="484"/>
      <c r="V40" s="484"/>
      <c r="W40" s="484"/>
      <c r="X40" s="484"/>
      <c r="Y40" s="484"/>
      <c r="Z40" s="484"/>
      <c r="AA40" s="484"/>
      <c r="AB40" s="484"/>
      <c r="AC40" s="484"/>
      <c r="AD40" s="485"/>
    </row>
    <row r="41" spans="2:30" ht="20.25" customHeight="1" thickBot="1" x14ac:dyDescent="0.25">
      <c r="B41" s="357"/>
      <c r="C41" s="358"/>
      <c r="D41" s="358"/>
      <c r="E41" s="358"/>
      <c r="F41" s="358"/>
      <c r="G41" s="358"/>
      <c r="H41" s="486" t="s">
        <v>406</v>
      </c>
      <c r="I41" s="487"/>
      <c r="J41" s="487"/>
      <c r="K41" s="487"/>
      <c r="L41" s="487"/>
      <c r="M41" s="487"/>
      <c r="N41" s="488" t="str">
        <f>IF(I18="","",I18)</f>
        <v/>
      </c>
      <c r="O41" s="489"/>
      <c r="P41" s="489"/>
      <c r="Q41" s="489"/>
      <c r="R41" s="34" t="s">
        <v>407</v>
      </c>
      <c r="S41" s="490"/>
      <c r="T41" s="490"/>
      <c r="U41" s="490"/>
      <c r="V41" s="491" t="s">
        <v>408</v>
      </c>
      <c r="W41" s="491"/>
      <c r="X41" s="34"/>
      <c r="Y41" s="34"/>
      <c r="Z41" s="34"/>
      <c r="AA41" s="34"/>
      <c r="AB41" s="34"/>
      <c r="AC41" s="34"/>
      <c r="AD41" s="35"/>
    </row>
    <row r="42" spans="2:30" ht="4.5" customHeight="1" thickTop="1" x14ac:dyDescent="0.2"/>
  </sheetData>
  <mergeCells count="133">
    <mergeCell ref="V4:X4"/>
    <mergeCell ref="Y4:AD4"/>
    <mergeCell ref="B4:F4"/>
    <mergeCell ref="G4:J4"/>
    <mergeCell ref="L4:N4"/>
    <mergeCell ref="O4:U4"/>
    <mergeCell ref="C1:Q1"/>
    <mergeCell ref="R1:AD1"/>
    <mergeCell ref="B3:F3"/>
    <mergeCell ref="G3:J3"/>
    <mergeCell ref="L3:N3"/>
    <mergeCell ref="O3:U3"/>
    <mergeCell ref="V3:X3"/>
    <mergeCell ref="Y3:AD3"/>
    <mergeCell ref="B7:F7"/>
    <mergeCell ref="G7:J7"/>
    <mergeCell ref="L7:AD9"/>
    <mergeCell ref="B8:F8"/>
    <mergeCell ref="G8:J8"/>
    <mergeCell ref="B9:F10"/>
    <mergeCell ref="G9:J10"/>
    <mergeCell ref="L10:AD10"/>
    <mergeCell ref="B5:F6"/>
    <mergeCell ref="G5:J6"/>
    <mergeCell ref="L6:AD6"/>
    <mergeCell ref="AG17:AI17"/>
    <mergeCell ref="B18:G20"/>
    <mergeCell ref="I18:O19"/>
    <mergeCell ref="P18:T18"/>
    <mergeCell ref="U18:X19"/>
    <mergeCell ref="Y18:AD19"/>
    <mergeCell ref="P19:T19"/>
    <mergeCell ref="H20:AD20"/>
    <mergeCell ref="B11:AD11"/>
    <mergeCell ref="B13:G17"/>
    <mergeCell ref="H13:AD13"/>
    <mergeCell ref="H14:AD14"/>
    <mergeCell ref="H15:AD15"/>
    <mergeCell ref="H17:AD17"/>
    <mergeCell ref="H16:M16"/>
    <mergeCell ref="N16:AD16"/>
    <mergeCell ref="AA23:AD23"/>
    <mergeCell ref="AB21:AD21"/>
    <mergeCell ref="W26:X26"/>
    <mergeCell ref="W25:X25"/>
    <mergeCell ref="W24:X24"/>
    <mergeCell ref="W21:AA21"/>
    <mergeCell ref="B24:C24"/>
    <mergeCell ref="D24:G24"/>
    <mergeCell ref="H24:R24"/>
    <mergeCell ref="S24:V24"/>
    <mergeCell ref="B21:G21"/>
    <mergeCell ref="O21:S21"/>
    <mergeCell ref="T21:V21"/>
    <mergeCell ref="B23:G23"/>
    <mergeCell ref="J21:N21"/>
    <mergeCell ref="H23:R23"/>
    <mergeCell ref="B25:C25"/>
    <mergeCell ref="D25:G25"/>
    <mergeCell ref="H25:R25"/>
    <mergeCell ref="S25:V25"/>
    <mergeCell ref="B26:C26"/>
    <mergeCell ref="D26:G26"/>
    <mergeCell ref="H26:R26"/>
    <mergeCell ref="S26:V26"/>
    <mergeCell ref="S23:X23"/>
    <mergeCell ref="W27:X27"/>
    <mergeCell ref="B28:C28"/>
    <mergeCell ref="D28:G28"/>
    <mergeCell ref="H28:R28"/>
    <mergeCell ref="S28:V28"/>
    <mergeCell ref="W28:X28"/>
    <mergeCell ref="B27:C27"/>
    <mergeCell ref="D27:G27"/>
    <mergeCell ref="H27:R27"/>
    <mergeCell ref="S27:V27"/>
    <mergeCell ref="W29:X29"/>
    <mergeCell ref="B30:C30"/>
    <mergeCell ref="D30:G30"/>
    <mergeCell ref="H30:R30"/>
    <mergeCell ref="S30:V30"/>
    <mergeCell ref="W30:X30"/>
    <mergeCell ref="B29:C29"/>
    <mergeCell ref="D29:G29"/>
    <mergeCell ref="H29:R29"/>
    <mergeCell ref="S29:V29"/>
    <mergeCell ref="W31:X31"/>
    <mergeCell ref="B32:C32"/>
    <mergeCell ref="D32:G32"/>
    <mergeCell ref="H32:R32"/>
    <mergeCell ref="S32:V32"/>
    <mergeCell ref="W32:X32"/>
    <mergeCell ref="B31:C31"/>
    <mergeCell ref="D31:G31"/>
    <mergeCell ref="H31:R31"/>
    <mergeCell ref="S31:V31"/>
    <mergeCell ref="W33:X33"/>
    <mergeCell ref="B34:C34"/>
    <mergeCell ref="D34:G34"/>
    <mergeCell ref="H34:R34"/>
    <mergeCell ref="S34:V34"/>
    <mergeCell ref="W34:X34"/>
    <mergeCell ref="B33:C33"/>
    <mergeCell ref="D33:G33"/>
    <mergeCell ref="H33:R33"/>
    <mergeCell ref="S33:V33"/>
    <mergeCell ref="W35:X35"/>
    <mergeCell ref="B36:C36"/>
    <mergeCell ref="D36:G36"/>
    <mergeCell ref="H36:R36"/>
    <mergeCell ref="S36:V36"/>
    <mergeCell ref="W36:X36"/>
    <mergeCell ref="B35:C35"/>
    <mergeCell ref="D35:G35"/>
    <mergeCell ref="H35:R35"/>
    <mergeCell ref="S35:V35"/>
    <mergeCell ref="B40:G41"/>
    <mergeCell ref="H40:L40"/>
    <mergeCell ref="M40:AD40"/>
    <mergeCell ref="H41:M41"/>
    <mergeCell ref="N41:Q41"/>
    <mergeCell ref="S41:U41"/>
    <mergeCell ref="V41:W41"/>
    <mergeCell ref="W37:X37"/>
    <mergeCell ref="B38:C38"/>
    <mergeCell ref="D38:G38"/>
    <mergeCell ref="H38:R38"/>
    <mergeCell ref="S38:V38"/>
    <mergeCell ref="W38:X38"/>
    <mergeCell ref="B37:C37"/>
    <mergeCell ref="D37:G37"/>
    <mergeCell ref="H37:R37"/>
    <mergeCell ref="S37:V37"/>
  </mergeCells>
  <phoneticPr fontId="6"/>
  <pageMargins left="0.43307086614173229" right="0.43307086614173229" top="0.47244094488188981" bottom="0.47244094488188981" header="0.31496062992125984" footer="0.31496062992125984"/>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tabColor rgb="FFFFCCFF"/>
  </sheetPr>
  <dimension ref="B1:AG43"/>
  <sheetViews>
    <sheetView view="pageBreakPreview" zoomScale="90" zoomScaleNormal="100" zoomScaleSheetLayoutView="90" workbookViewId="0">
      <selection activeCell="AM15" sqref="AM15"/>
    </sheetView>
  </sheetViews>
  <sheetFormatPr defaultRowHeight="13.2" x14ac:dyDescent="0.2"/>
  <cols>
    <col min="1" max="1" width="0.44140625" customWidth="1"/>
    <col min="2" max="2" width="1.88671875" customWidth="1"/>
    <col min="3" max="3" width="1.21875" customWidth="1"/>
    <col min="4" max="4" width="3.33203125" customWidth="1"/>
    <col min="5" max="5" width="5" customWidth="1"/>
    <col min="6" max="6" width="2.109375" customWidth="1"/>
    <col min="7" max="7" width="3" customWidth="1"/>
    <col min="8" max="8" width="1" customWidth="1"/>
    <col min="9" max="9" width="4.44140625" customWidth="1"/>
    <col min="10" max="11" width="2.109375" customWidth="1"/>
    <col min="12" max="12" width="1.21875" customWidth="1"/>
    <col min="13" max="13" width="4.6640625" customWidth="1"/>
    <col min="14" max="14" width="2.6640625" customWidth="1"/>
    <col min="15" max="15" width="3.21875" customWidth="1"/>
    <col min="16" max="16" width="2.44140625" customWidth="1"/>
    <col min="17" max="17" width="2.6640625" customWidth="1"/>
    <col min="18" max="18" width="6" customWidth="1"/>
    <col min="19" max="19" width="4.109375" customWidth="1"/>
    <col min="20" max="20" width="4.33203125" customWidth="1"/>
    <col min="21" max="21" width="4.21875" customWidth="1"/>
    <col min="22" max="22" width="4.6640625" customWidth="1"/>
    <col min="23" max="25" width="2.44140625" customWidth="1"/>
    <col min="26" max="26" width="3.33203125" customWidth="1"/>
    <col min="27" max="27" width="3.6640625" customWidth="1"/>
    <col min="28" max="28" width="3" customWidth="1"/>
    <col min="29" max="29" width="1.109375" customWidth="1"/>
    <col min="30" max="30" width="2.21875" customWidth="1"/>
    <col min="31" max="31" width="4.33203125" customWidth="1"/>
    <col min="32" max="32" width="1.77734375" customWidth="1"/>
    <col min="33" max="33" width="1.44140625" customWidth="1"/>
    <col min="34" max="34" width="0.44140625" customWidth="1"/>
    <col min="35" max="35" width="1.77734375" customWidth="1"/>
    <col min="36" max="36" width="7.88671875" customWidth="1"/>
    <col min="37" max="37" width="14" customWidth="1"/>
    <col min="38" max="38" width="7.44140625" customWidth="1"/>
    <col min="42" max="42" width="9.77734375" customWidth="1"/>
    <col min="43" max="43" width="77.109375" customWidth="1"/>
    <col min="44" max="44" width="15" customWidth="1"/>
  </cols>
  <sheetData>
    <row r="1" spans="2:33" ht="33.75" customHeight="1" x14ac:dyDescent="0.2">
      <c r="B1" s="3" t="s">
        <v>13</v>
      </c>
      <c r="C1" s="187" t="s">
        <v>14</v>
      </c>
      <c r="D1" s="187"/>
      <c r="E1" s="187"/>
      <c r="F1" s="187"/>
      <c r="G1" s="187"/>
      <c r="H1" s="187"/>
      <c r="I1" s="187"/>
      <c r="J1" s="187"/>
      <c r="K1" s="187"/>
      <c r="L1" s="187"/>
      <c r="M1" s="187"/>
      <c r="N1" s="187"/>
      <c r="O1" s="187"/>
      <c r="P1" s="187"/>
      <c r="Q1" s="187"/>
      <c r="R1" s="187"/>
      <c r="S1" s="403" t="s">
        <v>369</v>
      </c>
      <c r="T1" s="403"/>
      <c r="U1" s="403"/>
      <c r="V1" s="403"/>
      <c r="W1" s="403"/>
      <c r="X1" s="403"/>
      <c r="Y1" s="403"/>
      <c r="Z1" s="403"/>
      <c r="AA1" s="403"/>
      <c r="AB1" s="403"/>
      <c r="AC1" s="403"/>
      <c r="AD1" s="403"/>
      <c r="AE1" s="403"/>
      <c r="AF1" s="403"/>
      <c r="AG1" s="403"/>
    </row>
    <row r="2" spans="2:33" ht="3.75" customHeight="1" thickBot="1" x14ac:dyDescent="0.25">
      <c r="B2" s="3"/>
      <c r="C2" s="4"/>
      <c r="D2" s="4"/>
      <c r="E2" s="4"/>
      <c r="F2" s="4"/>
      <c r="G2" s="4"/>
      <c r="H2" s="4"/>
      <c r="I2" s="4"/>
      <c r="J2" s="4"/>
      <c r="K2" s="4"/>
      <c r="L2" s="4"/>
      <c r="M2" s="4"/>
      <c r="N2" s="4"/>
      <c r="O2" s="4"/>
      <c r="P2" s="4"/>
      <c r="Q2" s="4"/>
      <c r="R2" s="4"/>
      <c r="S2" s="5"/>
      <c r="T2" s="5"/>
      <c r="U2" s="5"/>
      <c r="V2" s="5"/>
      <c r="W2" s="5"/>
      <c r="X2" s="5"/>
      <c r="Y2" s="5"/>
      <c r="Z2" s="5"/>
      <c r="AA2" s="5"/>
      <c r="AB2" s="5"/>
      <c r="AC2" s="5"/>
      <c r="AD2" s="5"/>
      <c r="AE2" s="5"/>
      <c r="AF2" s="5"/>
      <c r="AG2" s="5"/>
    </row>
    <row r="3" spans="2:33" ht="31.5" customHeight="1" x14ac:dyDescent="0.2">
      <c r="B3" s="189" t="s">
        <v>325</v>
      </c>
      <c r="C3" s="190"/>
      <c r="D3" s="190"/>
      <c r="E3" s="190"/>
      <c r="F3" s="191"/>
      <c r="G3" s="192" t="s">
        <v>326</v>
      </c>
      <c r="H3" s="190"/>
      <c r="I3" s="190"/>
      <c r="J3" s="190"/>
      <c r="K3" s="193"/>
      <c r="L3" s="6"/>
      <c r="M3" s="194" t="s">
        <v>327</v>
      </c>
      <c r="N3" s="195"/>
      <c r="O3" s="196"/>
      <c r="P3" s="197" t="s">
        <v>15</v>
      </c>
      <c r="Q3" s="198"/>
      <c r="R3" s="198"/>
      <c r="S3" s="198"/>
      <c r="T3" s="198"/>
      <c r="U3" s="198"/>
      <c r="V3" s="199"/>
      <c r="W3" s="200" t="s">
        <v>328</v>
      </c>
      <c r="X3" s="201"/>
      <c r="Y3" s="201"/>
      <c r="Z3" s="202"/>
      <c r="AA3" s="203"/>
      <c r="AB3" s="204"/>
      <c r="AC3" s="204"/>
      <c r="AD3" s="204"/>
      <c r="AE3" s="554" t="e">
        <f>#REF!</f>
        <v>#REF!</v>
      </c>
      <c r="AF3" s="554"/>
      <c r="AG3" s="555"/>
    </row>
    <row r="4" spans="2:33" ht="27" customHeight="1" thickBot="1" x14ac:dyDescent="0.25">
      <c r="B4" s="213" t="s">
        <v>329</v>
      </c>
      <c r="C4" s="214"/>
      <c r="D4" s="214"/>
      <c r="E4" s="214"/>
      <c r="F4" s="215"/>
      <c r="G4" s="237">
        <f ca="1">TODAY()</f>
        <v>45831</v>
      </c>
      <c r="H4" s="238"/>
      <c r="I4" s="238"/>
      <c r="J4" s="238"/>
      <c r="K4" s="239"/>
      <c r="L4" s="7"/>
      <c r="M4" s="219" t="s">
        <v>16</v>
      </c>
      <c r="N4" s="220"/>
      <c r="O4" s="221"/>
      <c r="P4" s="222"/>
      <c r="Q4" s="223"/>
      <c r="R4" s="223"/>
      <c r="S4" s="223"/>
      <c r="T4" s="223"/>
      <c r="U4" s="223"/>
      <c r="V4" s="224"/>
      <c r="W4" s="207" t="s">
        <v>331</v>
      </c>
      <c r="X4" s="208"/>
      <c r="Y4" s="208"/>
      <c r="Z4" s="209"/>
      <c r="AA4" s="210"/>
      <c r="AB4" s="211"/>
      <c r="AC4" s="211"/>
      <c r="AD4" s="211"/>
      <c r="AE4" s="211"/>
      <c r="AF4" s="211"/>
      <c r="AG4" s="212"/>
    </row>
    <row r="5" spans="2:33" ht="6" customHeight="1" x14ac:dyDescent="0.2">
      <c r="B5" s="213" t="s">
        <v>17</v>
      </c>
      <c r="C5" s="214"/>
      <c r="D5" s="214"/>
      <c r="E5" s="214"/>
      <c r="F5" s="215"/>
      <c r="G5" s="216"/>
      <c r="H5" s="217"/>
      <c r="I5" s="217"/>
      <c r="J5" s="217"/>
      <c r="K5" s="218"/>
      <c r="L5" s="7"/>
      <c r="M5" s="8"/>
      <c r="N5" s="8"/>
      <c r="O5" s="8"/>
      <c r="P5" s="8"/>
      <c r="Q5" s="9"/>
      <c r="R5" s="9"/>
      <c r="S5" s="9"/>
      <c r="T5" s="9"/>
      <c r="U5" s="9"/>
      <c r="V5" s="9"/>
      <c r="W5" s="10"/>
      <c r="X5" s="10"/>
      <c r="Y5" s="10"/>
      <c r="Z5" s="10"/>
      <c r="AA5" s="11"/>
      <c r="AB5" s="11"/>
      <c r="AC5" s="11"/>
      <c r="AD5" s="11"/>
      <c r="AE5" s="11"/>
      <c r="AF5" s="11"/>
      <c r="AG5" s="11"/>
    </row>
    <row r="6" spans="2:33" ht="21" customHeight="1" x14ac:dyDescent="0.2">
      <c r="B6" s="234"/>
      <c r="C6" s="235"/>
      <c r="D6" s="235"/>
      <c r="E6" s="235"/>
      <c r="F6" s="236"/>
      <c r="G6" s="417"/>
      <c r="H6" s="418"/>
      <c r="I6" s="418"/>
      <c r="J6" s="418"/>
      <c r="K6" s="419"/>
      <c r="L6" s="7"/>
      <c r="M6" s="243" t="s">
        <v>333</v>
      </c>
      <c r="N6" s="244"/>
      <c r="O6" s="244"/>
      <c r="P6" s="244"/>
      <c r="Q6" s="244"/>
      <c r="R6" s="244"/>
      <c r="S6" s="244"/>
      <c r="T6" s="244"/>
      <c r="U6" s="244"/>
      <c r="V6" s="244"/>
      <c r="W6" s="244"/>
      <c r="X6" s="244"/>
      <c r="Y6" s="244"/>
      <c r="Z6" s="244"/>
      <c r="AA6" s="244"/>
      <c r="AB6" s="244"/>
      <c r="AC6" s="244"/>
      <c r="AD6" s="244"/>
      <c r="AE6" s="244"/>
      <c r="AF6" s="244"/>
      <c r="AG6" s="245"/>
    </row>
    <row r="7" spans="2:33" ht="25.5" customHeight="1" x14ac:dyDescent="0.2">
      <c r="B7" s="246" t="s">
        <v>334</v>
      </c>
      <c r="C7" s="247"/>
      <c r="D7" s="247"/>
      <c r="E7" s="247"/>
      <c r="F7" s="248"/>
      <c r="G7" s="249"/>
      <c r="H7" s="250"/>
      <c r="I7" s="250"/>
      <c r="J7" s="250"/>
      <c r="K7" s="251"/>
      <c r="L7" s="7"/>
      <c r="M7" s="420"/>
      <c r="N7" s="421"/>
      <c r="O7" s="421"/>
      <c r="P7" s="421"/>
      <c r="Q7" s="421"/>
      <c r="R7" s="421"/>
      <c r="S7" s="421"/>
      <c r="T7" s="421"/>
      <c r="U7" s="421"/>
      <c r="V7" s="421"/>
      <c r="W7" s="421"/>
      <c r="X7" s="421"/>
      <c r="Y7" s="421"/>
      <c r="Z7" s="421"/>
      <c r="AA7" s="421"/>
      <c r="AB7" s="421"/>
      <c r="AC7" s="421"/>
      <c r="AD7" s="421"/>
      <c r="AE7" s="421"/>
      <c r="AF7" s="421"/>
      <c r="AG7" s="422"/>
    </row>
    <row r="8" spans="2:33" ht="25.5" customHeight="1" x14ac:dyDescent="0.2">
      <c r="B8" s="246" t="s">
        <v>18</v>
      </c>
      <c r="C8" s="247"/>
      <c r="D8" s="247"/>
      <c r="E8" s="247"/>
      <c r="F8" s="248"/>
      <c r="G8" s="252"/>
      <c r="H8" s="253"/>
      <c r="I8" s="253"/>
      <c r="J8" s="253"/>
      <c r="K8" s="254"/>
      <c r="L8" s="7"/>
      <c r="M8" s="420"/>
      <c r="N8" s="421"/>
      <c r="O8" s="421"/>
      <c r="P8" s="421"/>
      <c r="Q8" s="421"/>
      <c r="R8" s="421"/>
      <c r="S8" s="421"/>
      <c r="T8" s="421"/>
      <c r="U8" s="421"/>
      <c r="V8" s="421"/>
      <c r="W8" s="421"/>
      <c r="X8" s="421"/>
      <c r="Y8" s="421"/>
      <c r="Z8" s="421"/>
      <c r="AA8" s="421"/>
      <c r="AB8" s="421"/>
      <c r="AC8" s="421"/>
      <c r="AD8" s="421"/>
      <c r="AE8" s="421"/>
      <c r="AF8" s="421"/>
      <c r="AG8" s="422"/>
    </row>
    <row r="9" spans="2:33" ht="10.5" customHeight="1" x14ac:dyDescent="0.2">
      <c r="B9" s="255" t="s">
        <v>336</v>
      </c>
      <c r="C9" s="256"/>
      <c r="D9" s="256"/>
      <c r="E9" s="256"/>
      <c r="F9" s="257"/>
      <c r="G9" s="261"/>
      <c r="H9" s="262"/>
      <c r="I9" s="262"/>
      <c r="J9" s="262"/>
      <c r="K9" s="263"/>
      <c r="L9" s="7"/>
      <c r="M9" s="420"/>
      <c r="N9" s="421"/>
      <c r="O9" s="421"/>
      <c r="P9" s="421"/>
      <c r="Q9" s="421"/>
      <c r="R9" s="421"/>
      <c r="S9" s="421"/>
      <c r="T9" s="421"/>
      <c r="U9" s="421"/>
      <c r="V9" s="421"/>
      <c r="W9" s="421"/>
      <c r="X9" s="421"/>
      <c r="Y9" s="421"/>
      <c r="Z9" s="421"/>
      <c r="AA9" s="421"/>
      <c r="AB9" s="421"/>
      <c r="AC9" s="421"/>
      <c r="AD9" s="421"/>
      <c r="AE9" s="421"/>
      <c r="AF9" s="421"/>
      <c r="AG9" s="422"/>
    </row>
    <row r="10" spans="2:33" ht="15" customHeight="1" thickBot="1" x14ac:dyDescent="0.25">
      <c r="B10" s="258"/>
      <c r="C10" s="259"/>
      <c r="D10" s="259"/>
      <c r="E10" s="259"/>
      <c r="F10" s="260"/>
      <c r="G10" s="264"/>
      <c r="H10" s="265"/>
      <c r="I10" s="265"/>
      <c r="J10" s="265"/>
      <c r="K10" s="266"/>
      <c r="L10" s="7"/>
      <c r="M10" s="406" t="s">
        <v>19</v>
      </c>
      <c r="N10" s="407"/>
      <c r="O10" s="407"/>
      <c r="P10" s="407"/>
      <c r="Q10" s="407"/>
      <c r="R10" s="407"/>
      <c r="S10" s="407"/>
      <c r="T10" s="407"/>
      <c r="U10" s="407"/>
      <c r="V10" s="407"/>
      <c r="W10" s="407"/>
      <c r="X10" s="407"/>
      <c r="Y10" s="407"/>
      <c r="Z10" s="407"/>
      <c r="AA10" s="407"/>
      <c r="AB10" s="407"/>
      <c r="AC10" s="407"/>
      <c r="AD10" s="407"/>
      <c r="AE10" s="407"/>
      <c r="AF10" s="407"/>
      <c r="AG10" s="408"/>
    </row>
    <row r="11" spans="2:33" ht="17.25" customHeight="1" x14ac:dyDescent="0.2">
      <c r="B11" s="267" t="s">
        <v>3501</v>
      </c>
      <c r="C11" s="267"/>
      <c r="D11" s="267"/>
      <c r="E11" s="267"/>
      <c r="F11" s="267"/>
      <c r="G11" s="267"/>
      <c r="H11" s="267"/>
      <c r="I11" s="267"/>
      <c r="J11" s="267"/>
      <c r="K11" s="267"/>
      <c r="L11" s="267"/>
      <c r="M11" s="267"/>
      <c r="N11" s="267"/>
      <c r="O11" s="267"/>
      <c r="P11" s="267"/>
      <c r="Q11" s="267"/>
      <c r="R11" s="267"/>
      <c r="S11" s="267"/>
      <c r="T11" s="267"/>
      <c r="U11" s="267"/>
      <c r="V11" s="267"/>
      <c r="W11" s="267"/>
      <c r="X11" s="267"/>
      <c r="Y11" s="267"/>
      <c r="Z11" s="267"/>
      <c r="AA11" s="267"/>
      <c r="AB11" s="267"/>
      <c r="AC11" s="267"/>
      <c r="AD11" s="267"/>
      <c r="AE11" s="267"/>
      <c r="AF11" s="267"/>
      <c r="AG11" s="267"/>
    </row>
    <row r="12" spans="2:33" ht="6" customHeight="1" thickBot="1" x14ac:dyDescent="0.25">
      <c r="B12" s="12"/>
      <c r="C12" s="12"/>
      <c r="D12" s="12"/>
      <c r="E12" s="12"/>
      <c r="F12" s="12"/>
      <c r="G12" s="12"/>
      <c r="H12" s="12"/>
      <c r="I12" s="12"/>
      <c r="J12" s="12"/>
      <c r="K12" s="12"/>
      <c r="L12" s="12"/>
      <c r="M12" s="12"/>
      <c r="N12" s="12"/>
      <c r="O12" s="12"/>
      <c r="P12" s="12"/>
      <c r="Q12" s="12"/>
      <c r="R12" s="12"/>
      <c r="S12" s="12"/>
      <c r="T12" s="12"/>
      <c r="U12" s="12"/>
      <c r="V12" s="12"/>
      <c r="W12" s="12"/>
      <c r="X12" s="12"/>
      <c r="Y12" s="12"/>
      <c r="Z12" s="12"/>
      <c r="AA12" s="12"/>
      <c r="AB12" s="12"/>
      <c r="AC12" s="12"/>
      <c r="AD12" s="12"/>
      <c r="AE12" s="12"/>
      <c r="AF12" s="12"/>
      <c r="AG12" s="12"/>
    </row>
    <row r="13" spans="2:33" ht="37.5" customHeight="1" x14ac:dyDescent="0.2">
      <c r="B13" s="268" t="s">
        <v>338</v>
      </c>
      <c r="C13" s="269"/>
      <c r="D13" s="269"/>
      <c r="E13" s="269"/>
      <c r="F13" s="269"/>
      <c r="G13" s="270"/>
      <c r="H13" s="409" t="str">
        <f>IF(Q13="プラスワンインターナショナル","弊社まで⇒","加工場直送⇒")</f>
        <v>加工場直送⇒</v>
      </c>
      <c r="I13" s="410"/>
      <c r="J13" s="410"/>
      <c r="K13" s="410"/>
      <c r="L13" s="410"/>
      <c r="M13" s="410"/>
      <c r="N13" s="410"/>
      <c r="O13" s="410"/>
      <c r="P13" s="410"/>
      <c r="Q13" s="411" t="s">
        <v>3521</v>
      </c>
      <c r="R13" s="411"/>
      <c r="S13" s="411"/>
      <c r="T13" s="411"/>
      <c r="U13" s="411"/>
      <c r="V13" s="411"/>
      <c r="W13" s="411"/>
      <c r="X13" s="411"/>
      <c r="Y13" s="411"/>
      <c r="Z13" s="411"/>
      <c r="AA13" s="411"/>
      <c r="AB13" s="411"/>
      <c r="AC13" s="411"/>
      <c r="AD13" s="411"/>
      <c r="AE13" s="411"/>
      <c r="AF13" s="411"/>
      <c r="AG13" s="412"/>
    </row>
    <row r="14" spans="2:33" ht="20.25" customHeight="1" x14ac:dyDescent="0.2">
      <c r="B14" s="271"/>
      <c r="C14" s="272"/>
      <c r="D14" s="272"/>
      <c r="E14" s="272"/>
      <c r="F14" s="272"/>
      <c r="G14" s="273"/>
      <c r="H14" s="413" t="str">
        <f>VLOOKUP(Q13,メーカー加工場!B46:D65,2,FALSE)</f>
        <v xml:space="preserve"> 〒838-0226  福岡県朝倉郡筑前町中牟田1175-1</v>
      </c>
      <c r="I14" s="414"/>
      <c r="J14" s="414"/>
      <c r="K14" s="414"/>
      <c r="L14" s="414"/>
      <c r="M14" s="414"/>
      <c r="N14" s="414"/>
      <c r="O14" s="414"/>
      <c r="P14" s="414"/>
      <c r="Q14" s="414"/>
      <c r="R14" s="414"/>
      <c r="S14" s="414"/>
      <c r="T14" s="414"/>
      <c r="U14" s="414"/>
      <c r="V14" s="414"/>
      <c r="W14" s="415" t="s">
        <v>20</v>
      </c>
      <c r="X14" s="415"/>
      <c r="Y14" s="415"/>
      <c r="Z14" s="415" t="str">
        <f>VLOOKUP(Q13,メーカー加工場!B46:D65,3,FALSE)</f>
        <v>0946-42-8777</v>
      </c>
      <c r="AA14" s="415"/>
      <c r="AB14" s="415"/>
      <c r="AC14" s="415"/>
      <c r="AD14" s="415"/>
      <c r="AE14" s="415"/>
      <c r="AF14" s="415"/>
      <c r="AG14" s="416"/>
    </row>
    <row r="15" spans="2:33" ht="33.75" customHeight="1" x14ac:dyDescent="0.2">
      <c r="B15" s="292" t="s">
        <v>342</v>
      </c>
      <c r="C15" s="293"/>
      <c r="D15" s="293"/>
      <c r="E15" s="293"/>
      <c r="F15" s="293"/>
      <c r="G15" s="294"/>
      <c r="H15" s="298" t="s">
        <v>21</v>
      </c>
      <c r="I15" s="299"/>
      <c r="J15" s="556">
        <f ca="1">WORKDAY(TODAY(),2)</f>
        <v>45833</v>
      </c>
      <c r="K15" s="556"/>
      <c r="L15" s="556"/>
      <c r="M15" s="556"/>
      <c r="N15" s="556"/>
      <c r="O15" s="556"/>
      <c r="P15" s="556"/>
      <c r="Q15" s="302" t="s">
        <v>343</v>
      </c>
      <c r="R15" s="302"/>
      <c r="S15" s="302"/>
      <c r="T15" s="302"/>
      <c r="U15" s="303"/>
      <c r="V15" s="305" t="s">
        <v>344</v>
      </c>
      <c r="W15" s="306"/>
      <c r="X15" s="306"/>
      <c r="Y15" s="306"/>
      <c r="Z15" s="306"/>
      <c r="AA15" s="557" t="s">
        <v>1835</v>
      </c>
      <c r="AB15" s="557"/>
      <c r="AC15" s="557"/>
      <c r="AD15" s="557"/>
      <c r="AE15" s="557"/>
      <c r="AF15" s="557"/>
      <c r="AG15" s="558"/>
    </row>
    <row r="16" spans="2:33" ht="13.5" customHeight="1" x14ac:dyDescent="0.2">
      <c r="B16" s="295"/>
      <c r="C16" s="296"/>
      <c r="D16" s="296"/>
      <c r="E16" s="296"/>
      <c r="F16" s="296"/>
      <c r="G16" s="297"/>
      <c r="H16" s="310" t="s">
        <v>346</v>
      </c>
      <c r="I16" s="311"/>
      <c r="J16" s="311"/>
      <c r="K16" s="311"/>
      <c r="L16" s="311"/>
      <c r="M16" s="311"/>
      <c r="N16" s="311"/>
      <c r="O16" s="311"/>
      <c r="P16" s="311"/>
      <c r="Q16" s="311"/>
      <c r="R16" s="311"/>
      <c r="S16" s="311"/>
      <c r="T16" s="311"/>
      <c r="U16" s="311"/>
      <c r="V16" s="311"/>
      <c r="W16" s="311"/>
      <c r="X16" s="311"/>
      <c r="Y16" s="311"/>
      <c r="Z16" s="311"/>
      <c r="AA16" s="311"/>
      <c r="AB16" s="311"/>
      <c r="AC16" s="311"/>
      <c r="AD16" s="311"/>
      <c r="AE16" s="311"/>
      <c r="AF16" s="311"/>
      <c r="AG16" s="312"/>
    </row>
    <row r="17" spans="2:33" ht="33.75" customHeight="1" thickBot="1" x14ac:dyDescent="0.25">
      <c r="B17" s="313" t="s">
        <v>347</v>
      </c>
      <c r="C17" s="314"/>
      <c r="D17" s="314"/>
      <c r="E17" s="314"/>
      <c r="F17" s="314"/>
      <c r="G17" s="315"/>
      <c r="H17" s="316" t="s">
        <v>371</v>
      </c>
      <c r="I17" s="317"/>
      <c r="J17" s="317"/>
      <c r="K17" s="425"/>
      <c r="L17" s="318"/>
      <c r="M17" s="318"/>
      <c r="N17" s="318"/>
      <c r="O17" s="318"/>
      <c r="P17" s="318"/>
      <c r="Q17" s="318"/>
      <c r="R17" s="318"/>
      <c r="S17" s="318"/>
      <c r="T17" s="319" t="s">
        <v>22</v>
      </c>
      <c r="U17" s="320"/>
      <c r="V17" s="320"/>
      <c r="W17" s="321"/>
      <c r="X17" s="321"/>
      <c r="Y17" s="321"/>
      <c r="Z17" s="321"/>
      <c r="AA17" s="321"/>
      <c r="AB17" s="423" t="e">
        <f>AE3</f>
        <v>#REF!</v>
      </c>
      <c r="AC17" s="423"/>
      <c r="AD17" s="423"/>
      <c r="AE17" s="423"/>
      <c r="AF17" s="423"/>
      <c r="AG17" s="424"/>
    </row>
    <row r="18" spans="2:33" ht="6" customHeight="1" thickBot="1" x14ac:dyDescent="0.25">
      <c r="B18" s="15"/>
      <c r="C18" s="15"/>
      <c r="D18" s="15"/>
      <c r="E18" s="15"/>
      <c r="F18" s="15"/>
      <c r="G18" s="15"/>
      <c r="H18" s="15"/>
      <c r="I18" s="15"/>
      <c r="J18" s="15"/>
      <c r="K18" s="15"/>
      <c r="L18" s="15"/>
      <c r="M18" s="15"/>
      <c r="N18" s="15"/>
      <c r="O18" s="15"/>
      <c r="P18" s="15"/>
      <c r="Q18" s="15"/>
      <c r="R18" s="15"/>
      <c r="S18" s="15"/>
      <c r="T18" s="15"/>
      <c r="U18" s="15"/>
      <c r="V18" s="15"/>
      <c r="W18" s="15"/>
      <c r="X18" s="15"/>
      <c r="Y18" s="15"/>
      <c r="Z18" s="15"/>
      <c r="AA18" s="15"/>
      <c r="AB18" s="15"/>
      <c r="AC18" s="15"/>
      <c r="AD18" s="15"/>
      <c r="AE18" s="15"/>
      <c r="AF18" s="15"/>
      <c r="AG18" s="15"/>
    </row>
    <row r="19" spans="2:33" ht="24.75" customHeight="1" thickBot="1" x14ac:dyDescent="0.25">
      <c r="B19" s="324" t="s">
        <v>351</v>
      </c>
      <c r="C19" s="325"/>
      <c r="D19" s="325"/>
      <c r="E19" s="325"/>
      <c r="F19" s="325"/>
      <c r="G19" s="325"/>
      <c r="H19" s="325" t="s">
        <v>357</v>
      </c>
      <c r="I19" s="325"/>
      <c r="J19" s="325"/>
      <c r="K19" s="325"/>
      <c r="L19" s="325"/>
      <c r="M19" s="325"/>
      <c r="N19" s="325"/>
      <c r="O19" s="325"/>
      <c r="P19" s="325"/>
      <c r="Q19" s="325"/>
      <c r="R19" s="325"/>
      <c r="S19" s="325"/>
      <c r="T19" s="325" t="s">
        <v>23</v>
      </c>
      <c r="U19" s="325"/>
      <c r="V19" s="325"/>
      <c r="W19" s="325"/>
      <c r="X19" s="325"/>
      <c r="Y19" s="325"/>
      <c r="Z19" s="325"/>
      <c r="AA19" s="326" t="s">
        <v>355</v>
      </c>
      <c r="AB19" s="327"/>
      <c r="AC19" s="17"/>
      <c r="AD19" s="339">
        <f>SUM(AA20:AA39)</f>
        <v>0</v>
      </c>
      <c r="AE19" s="340"/>
      <c r="AF19" s="340"/>
      <c r="AG19" s="341"/>
    </row>
    <row r="20" spans="2:33" ht="20.25" customHeight="1" x14ac:dyDescent="0.2">
      <c r="B20" s="328">
        <v>1</v>
      </c>
      <c r="C20" s="329"/>
      <c r="D20" s="330"/>
      <c r="E20" s="330"/>
      <c r="F20" s="330"/>
      <c r="G20" s="330"/>
      <c r="H20" s="333" t="s">
        <v>24</v>
      </c>
      <c r="I20" s="333"/>
      <c r="J20" s="333"/>
      <c r="K20" s="333"/>
      <c r="L20" s="333"/>
      <c r="M20" s="333"/>
      <c r="N20" s="333"/>
      <c r="O20" s="333"/>
      <c r="P20" s="333"/>
      <c r="Q20" s="333"/>
      <c r="R20" s="333"/>
      <c r="S20" s="333"/>
      <c r="T20" s="334" t="s">
        <v>25</v>
      </c>
      <c r="U20" s="335"/>
      <c r="V20" s="335"/>
      <c r="W20" s="335"/>
      <c r="X20" s="336"/>
      <c r="Y20" s="331"/>
      <c r="Z20" s="332"/>
      <c r="AA20" s="337"/>
      <c r="AB20" s="338"/>
      <c r="AC20" s="17"/>
      <c r="AD20" s="18"/>
      <c r="AE20" s="18"/>
      <c r="AF20" s="18"/>
      <c r="AG20" s="18"/>
    </row>
    <row r="21" spans="2:33" ht="20.25" customHeight="1" x14ac:dyDescent="0.15">
      <c r="B21" s="349">
        <v>2</v>
      </c>
      <c r="C21" s="350"/>
      <c r="D21" s="351"/>
      <c r="E21" s="352"/>
      <c r="F21" s="352"/>
      <c r="G21" s="353"/>
      <c r="H21" s="342"/>
      <c r="I21" s="343"/>
      <c r="J21" s="343"/>
      <c r="K21" s="343"/>
      <c r="L21" s="343"/>
      <c r="M21" s="343"/>
      <c r="N21" s="343"/>
      <c r="O21" s="343"/>
      <c r="P21" s="343"/>
      <c r="Q21" s="343"/>
      <c r="R21" s="343"/>
      <c r="S21" s="354"/>
      <c r="T21" s="342"/>
      <c r="U21" s="343"/>
      <c r="V21" s="343"/>
      <c r="W21" s="343"/>
      <c r="X21" s="344"/>
      <c r="Y21" s="345"/>
      <c r="Z21" s="346"/>
      <c r="AA21" s="347"/>
      <c r="AB21" s="348"/>
      <c r="AC21" s="15"/>
      <c r="AD21" s="15"/>
      <c r="AE21" s="15"/>
      <c r="AF21" s="15"/>
      <c r="AG21" s="16"/>
    </row>
    <row r="22" spans="2:33" ht="20.25" customHeight="1" x14ac:dyDescent="0.15">
      <c r="B22" s="349">
        <v>3</v>
      </c>
      <c r="C22" s="350"/>
      <c r="D22" s="351"/>
      <c r="E22" s="352"/>
      <c r="F22" s="352"/>
      <c r="G22" s="353"/>
      <c r="H22" s="342"/>
      <c r="I22" s="343"/>
      <c r="J22" s="343"/>
      <c r="K22" s="343"/>
      <c r="L22" s="343"/>
      <c r="M22" s="343"/>
      <c r="N22" s="343"/>
      <c r="O22" s="343"/>
      <c r="P22" s="343"/>
      <c r="Q22" s="343"/>
      <c r="R22" s="343"/>
      <c r="S22" s="354"/>
      <c r="T22" s="342"/>
      <c r="U22" s="343"/>
      <c r="V22" s="343"/>
      <c r="W22" s="343"/>
      <c r="X22" s="344"/>
      <c r="Y22" s="345"/>
      <c r="Z22" s="346"/>
      <c r="AA22" s="347"/>
      <c r="AB22" s="348"/>
      <c r="AC22" s="15"/>
      <c r="AD22" s="15"/>
      <c r="AE22" s="15"/>
      <c r="AF22" s="15"/>
      <c r="AG22" s="16"/>
    </row>
    <row r="23" spans="2:33" ht="20.25" customHeight="1" x14ac:dyDescent="0.15">
      <c r="B23" s="349">
        <v>4</v>
      </c>
      <c r="C23" s="350"/>
      <c r="D23" s="351"/>
      <c r="E23" s="352"/>
      <c r="F23" s="352"/>
      <c r="G23" s="353"/>
      <c r="H23" s="342"/>
      <c r="I23" s="343"/>
      <c r="J23" s="343"/>
      <c r="K23" s="343"/>
      <c r="L23" s="343"/>
      <c r="M23" s="343"/>
      <c r="N23" s="343"/>
      <c r="O23" s="343"/>
      <c r="P23" s="343"/>
      <c r="Q23" s="343"/>
      <c r="R23" s="343"/>
      <c r="S23" s="354"/>
      <c r="T23" s="342"/>
      <c r="U23" s="343"/>
      <c r="V23" s="343"/>
      <c r="W23" s="343"/>
      <c r="X23" s="344"/>
      <c r="Y23" s="345"/>
      <c r="Z23" s="346"/>
      <c r="AA23" s="347"/>
      <c r="AB23" s="348"/>
      <c r="AC23" s="15"/>
      <c r="AD23" s="15"/>
      <c r="AE23" s="15"/>
      <c r="AF23" s="15"/>
      <c r="AG23" s="16"/>
    </row>
    <row r="24" spans="2:33" ht="20.25" customHeight="1" x14ac:dyDescent="0.15">
      <c r="B24" s="349">
        <v>5</v>
      </c>
      <c r="C24" s="350"/>
      <c r="D24" s="351"/>
      <c r="E24" s="352"/>
      <c r="F24" s="352"/>
      <c r="G24" s="353"/>
      <c r="H24" s="342"/>
      <c r="I24" s="343"/>
      <c r="J24" s="343"/>
      <c r="K24" s="343"/>
      <c r="L24" s="343"/>
      <c r="M24" s="343"/>
      <c r="N24" s="343"/>
      <c r="O24" s="343"/>
      <c r="P24" s="343"/>
      <c r="Q24" s="343"/>
      <c r="R24" s="343"/>
      <c r="S24" s="354"/>
      <c r="T24" s="342"/>
      <c r="U24" s="343"/>
      <c r="V24" s="343"/>
      <c r="W24" s="343"/>
      <c r="X24" s="344"/>
      <c r="Y24" s="345"/>
      <c r="Z24" s="346"/>
      <c r="AA24" s="347"/>
      <c r="AB24" s="348"/>
      <c r="AC24" s="15"/>
      <c r="AD24" s="15"/>
      <c r="AE24" s="15"/>
      <c r="AF24" s="15"/>
      <c r="AG24" s="16"/>
    </row>
    <row r="25" spans="2:33" ht="20.25" customHeight="1" x14ac:dyDescent="0.15">
      <c r="B25" s="349">
        <v>6</v>
      </c>
      <c r="C25" s="350"/>
      <c r="D25" s="351"/>
      <c r="E25" s="352"/>
      <c r="F25" s="352"/>
      <c r="G25" s="353"/>
      <c r="H25" s="342"/>
      <c r="I25" s="343"/>
      <c r="J25" s="343"/>
      <c r="K25" s="343"/>
      <c r="L25" s="343"/>
      <c r="M25" s="343"/>
      <c r="N25" s="343"/>
      <c r="O25" s="343"/>
      <c r="P25" s="343"/>
      <c r="Q25" s="343"/>
      <c r="R25" s="343"/>
      <c r="S25" s="354"/>
      <c r="T25" s="342"/>
      <c r="U25" s="343"/>
      <c r="V25" s="343"/>
      <c r="W25" s="343"/>
      <c r="X25" s="344"/>
      <c r="Y25" s="345"/>
      <c r="Z25" s="346"/>
      <c r="AA25" s="347"/>
      <c r="AB25" s="348"/>
      <c r="AC25" s="15"/>
      <c r="AD25" s="15"/>
      <c r="AE25" s="15"/>
      <c r="AF25" s="15"/>
      <c r="AG25" s="16"/>
    </row>
    <row r="26" spans="2:33" ht="20.25" customHeight="1" x14ac:dyDescent="0.15">
      <c r="B26" s="349">
        <v>7</v>
      </c>
      <c r="C26" s="350"/>
      <c r="D26" s="351"/>
      <c r="E26" s="352"/>
      <c r="F26" s="352"/>
      <c r="G26" s="353"/>
      <c r="H26" s="342"/>
      <c r="I26" s="343"/>
      <c r="J26" s="343"/>
      <c r="K26" s="343"/>
      <c r="L26" s="343"/>
      <c r="M26" s="343"/>
      <c r="N26" s="343"/>
      <c r="O26" s="343"/>
      <c r="P26" s="343"/>
      <c r="Q26" s="343"/>
      <c r="R26" s="343"/>
      <c r="S26" s="354"/>
      <c r="T26" s="342"/>
      <c r="U26" s="343"/>
      <c r="V26" s="343"/>
      <c r="W26" s="343"/>
      <c r="X26" s="344"/>
      <c r="Y26" s="345"/>
      <c r="Z26" s="346"/>
      <c r="AA26" s="347"/>
      <c r="AB26" s="348"/>
      <c r="AC26" s="15"/>
      <c r="AD26" s="15"/>
      <c r="AE26" s="15"/>
      <c r="AF26" s="15"/>
      <c r="AG26" s="16"/>
    </row>
    <row r="27" spans="2:33" ht="20.25" customHeight="1" x14ac:dyDescent="0.15">
      <c r="B27" s="349">
        <v>8</v>
      </c>
      <c r="C27" s="350"/>
      <c r="D27" s="351"/>
      <c r="E27" s="352"/>
      <c r="F27" s="352"/>
      <c r="G27" s="353"/>
      <c r="H27" s="342"/>
      <c r="I27" s="343"/>
      <c r="J27" s="343"/>
      <c r="K27" s="343"/>
      <c r="L27" s="343"/>
      <c r="M27" s="343"/>
      <c r="N27" s="343"/>
      <c r="O27" s="343"/>
      <c r="P27" s="343"/>
      <c r="Q27" s="343"/>
      <c r="R27" s="343"/>
      <c r="S27" s="354"/>
      <c r="T27" s="342"/>
      <c r="U27" s="343"/>
      <c r="V27" s="343"/>
      <c r="W27" s="343"/>
      <c r="X27" s="344"/>
      <c r="Y27" s="345"/>
      <c r="Z27" s="346"/>
      <c r="AA27" s="347"/>
      <c r="AB27" s="348"/>
      <c r="AC27" s="15"/>
      <c r="AD27" s="15"/>
      <c r="AE27" s="15"/>
      <c r="AF27" s="15"/>
      <c r="AG27" s="16"/>
    </row>
    <row r="28" spans="2:33" ht="20.25" customHeight="1" x14ac:dyDescent="0.15">
      <c r="B28" s="349">
        <v>9</v>
      </c>
      <c r="C28" s="350"/>
      <c r="D28" s="351"/>
      <c r="E28" s="352"/>
      <c r="F28" s="352"/>
      <c r="G28" s="353"/>
      <c r="H28" s="342"/>
      <c r="I28" s="343"/>
      <c r="J28" s="343"/>
      <c r="K28" s="343"/>
      <c r="L28" s="343"/>
      <c r="M28" s="343"/>
      <c r="N28" s="343"/>
      <c r="O28" s="343"/>
      <c r="P28" s="343"/>
      <c r="Q28" s="343"/>
      <c r="R28" s="343"/>
      <c r="S28" s="354"/>
      <c r="T28" s="342"/>
      <c r="U28" s="343"/>
      <c r="V28" s="343"/>
      <c r="W28" s="343"/>
      <c r="X28" s="344"/>
      <c r="Y28" s="345"/>
      <c r="Z28" s="346"/>
      <c r="AA28" s="347"/>
      <c r="AB28" s="348"/>
      <c r="AC28" s="15"/>
      <c r="AD28" s="15"/>
      <c r="AE28" s="15"/>
      <c r="AF28" s="15"/>
      <c r="AG28" s="16"/>
    </row>
    <row r="29" spans="2:33" ht="20.25" customHeight="1" x14ac:dyDescent="0.15">
      <c r="B29" s="349">
        <v>10</v>
      </c>
      <c r="C29" s="350"/>
      <c r="D29" s="351"/>
      <c r="E29" s="352"/>
      <c r="F29" s="352"/>
      <c r="G29" s="353"/>
      <c r="H29" s="342"/>
      <c r="I29" s="343"/>
      <c r="J29" s="343"/>
      <c r="K29" s="343"/>
      <c r="L29" s="343"/>
      <c r="M29" s="343"/>
      <c r="N29" s="343"/>
      <c r="O29" s="343"/>
      <c r="P29" s="343"/>
      <c r="Q29" s="343"/>
      <c r="R29" s="343"/>
      <c r="S29" s="354"/>
      <c r="T29" s="342"/>
      <c r="U29" s="343"/>
      <c r="V29" s="343"/>
      <c r="W29" s="343"/>
      <c r="X29" s="344"/>
      <c r="Y29" s="345"/>
      <c r="Z29" s="346"/>
      <c r="AA29" s="347"/>
      <c r="AB29" s="348"/>
      <c r="AC29" s="15"/>
      <c r="AD29" s="15"/>
      <c r="AE29" s="15"/>
      <c r="AF29" s="15"/>
      <c r="AG29" s="16"/>
    </row>
    <row r="30" spans="2:33" ht="20.25" customHeight="1" x14ac:dyDescent="0.15">
      <c r="B30" s="349">
        <v>11</v>
      </c>
      <c r="C30" s="350"/>
      <c r="D30" s="351"/>
      <c r="E30" s="352"/>
      <c r="F30" s="352"/>
      <c r="G30" s="353"/>
      <c r="H30" s="342"/>
      <c r="I30" s="343"/>
      <c r="J30" s="343"/>
      <c r="K30" s="343"/>
      <c r="L30" s="343"/>
      <c r="M30" s="343"/>
      <c r="N30" s="343"/>
      <c r="O30" s="343"/>
      <c r="P30" s="343"/>
      <c r="Q30" s="343"/>
      <c r="R30" s="343"/>
      <c r="S30" s="354"/>
      <c r="T30" s="342"/>
      <c r="U30" s="343"/>
      <c r="V30" s="343"/>
      <c r="W30" s="343"/>
      <c r="X30" s="344"/>
      <c r="Y30" s="345"/>
      <c r="Z30" s="346"/>
      <c r="AA30" s="347"/>
      <c r="AB30" s="348"/>
      <c r="AC30" s="15"/>
      <c r="AD30" s="15"/>
      <c r="AE30" s="15"/>
      <c r="AF30" s="15"/>
      <c r="AG30" s="16"/>
    </row>
    <row r="31" spans="2:33" ht="20.25" customHeight="1" x14ac:dyDescent="0.15">
      <c r="B31" s="349">
        <v>12</v>
      </c>
      <c r="C31" s="350"/>
      <c r="D31" s="351"/>
      <c r="E31" s="352"/>
      <c r="F31" s="352"/>
      <c r="G31" s="353"/>
      <c r="H31" s="342"/>
      <c r="I31" s="343"/>
      <c r="J31" s="343"/>
      <c r="K31" s="343"/>
      <c r="L31" s="343"/>
      <c r="M31" s="343"/>
      <c r="N31" s="343"/>
      <c r="O31" s="343"/>
      <c r="P31" s="343"/>
      <c r="Q31" s="343"/>
      <c r="R31" s="343"/>
      <c r="S31" s="354"/>
      <c r="T31" s="342"/>
      <c r="U31" s="343"/>
      <c r="V31" s="343"/>
      <c r="W31" s="343"/>
      <c r="X31" s="344"/>
      <c r="Y31" s="345"/>
      <c r="Z31" s="346"/>
      <c r="AA31" s="347"/>
      <c r="AB31" s="348"/>
      <c r="AC31" s="15"/>
      <c r="AD31" s="15"/>
      <c r="AE31" s="15"/>
      <c r="AF31" s="15"/>
      <c r="AG31" s="16"/>
    </row>
    <row r="32" spans="2:33" ht="20.25" customHeight="1" x14ac:dyDescent="0.15">
      <c r="B32" s="349">
        <v>13</v>
      </c>
      <c r="C32" s="350"/>
      <c r="D32" s="351"/>
      <c r="E32" s="352"/>
      <c r="F32" s="352"/>
      <c r="G32" s="353"/>
      <c r="H32" s="342"/>
      <c r="I32" s="343"/>
      <c r="J32" s="343"/>
      <c r="K32" s="343"/>
      <c r="L32" s="343"/>
      <c r="M32" s="343"/>
      <c r="N32" s="343"/>
      <c r="O32" s="343"/>
      <c r="P32" s="343"/>
      <c r="Q32" s="343"/>
      <c r="R32" s="343"/>
      <c r="S32" s="354"/>
      <c r="T32" s="342"/>
      <c r="U32" s="343"/>
      <c r="V32" s="343"/>
      <c r="W32" s="343"/>
      <c r="X32" s="344"/>
      <c r="Y32" s="345"/>
      <c r="Z32" s="346"/>
      <c r="AA32" s="347"/>
      <c r="AB32" s="348"/>
      <c r="AC32" s="15"/>
      <c r="AD32" s="15"/>
      <c r="AE32" s="15"/>
      <c r="AF32" s="15"/>
      <c r="AG32" s="16"/>
    </row>
    <row r="33" spans="2:33" ht="20.25" customHeight="1" x14ac:dyDescent="0.15">
      <c r="B33" s="349">
        <v>14</v>
      </c>
      <c r="C33" s="350"/>
      <c r="D33" s="351"/>
      <c r="E33" s="352"/>
      <c r="F33" s="352"/>
      <c r="G33" s="353"/>
      <c r="H33" s="342"/>
      <c r="I33" s="343"/>
      <c r="J33" s="343"/>
      <c r="K33" s="343"/>
      <c r="L33" s="343"/>
      <c r="M33" s="343"/>
      <c r="N33" s="343"/>
      <c r="O33" s="343"/>
      <c r="P33" s="343"/>
      <c r="Q33" s="343"/>
      <c r="R33" s="343"/>
      <c r="S33" s="354"/>
      <c r="T33" s="342"/>
      <c r="U33" s="343"/>
      <c r="V33" s="343"/>
      <c r="W33" s="343"/>
      <c r="X33" s="344"/>
      <c r="Y33" s="345"/>
      <c r="Z33" s="346"/>
      <c r="AA33" s="347"/>
      <c r="AB33" s="348"/>
      <c r="AC33" s="15"/>
      <c r="AD33" s="15"/>
      <c r="AE33" s="15"/>
      <c r="AF33" s="15"/>
      <c r="AG33" s="16"/>
    </row>
    <row r="34" spans="2:33" ht="20.25" customHeight="1" x14ac:dyDescent="0.15">
      <c r="B34" s="349">
        <v>15</v>
      </c>
      <c r="C34" s="350"/>
      <c r="D34" s="351"/>
      <c r="E34" s="352"/>
      <c r="F34" s="352"/>
      <c r="G34" s="353"/>
      <c r="H34" s="342"/>
      <c r="I34" s="343"/>
      <c r="J34" s="343"/>
      <c r="K34" s="343"/>
      <c r="L34" s="343"/>
      <c r="M34" s="343"/>
      <c r="N34" s="343"/>
      <c r="O34" s="343"/>
      <c r="P34" s="343"/>
      <c r="Q34" s="343"/>
      <c r="R34" s="343"/>
      <c r="S34" s="354"/>
      <c r="T34" s="342"/>
      <c r="U34" s="343"/>
      <c r="V34" s="343"/>
      <c r="W34" s="343"/>
      <c r="X34" s="344"/>
      <c r="Y34" s="345"/>
      <c r="Z34" s="346"/>
      <c r="AA34" s="347"/>
      <c r="AB34" s="348"/>
      <c r="AC34" s="15"/>
      <c r="AD34" s="15"/>
      <c r="AE34" s="15"/>
      <c r="AF34" s="15"/>
      <c r="AG34" s="16"/>
    </row>
    <row r="35" spans="2:33" ht="20.25" customHeight="1" x14ac:dyDescent="0.15">
      <c r="B35" s="349">
        <v>16</v>
      </c>
      <c r="C35" s="350"/>
      <c r="D35" s="351"/>
      <c r="E35" s="352"/>
      <c r="F35" s="352"/>
      <c r="G35" s="353"/>
      <c r="H35" s="342"/>
      <c r="I35" s="343"/>
      <c r="J35" s="343"/>
      <c r="K35" s="343"/>
      <c r="L35" s="343"/>
      <c r="M35" s="343"/>
      <c r="N35" s="343"/>
      <c r="O35" s="343"/>
      <c r="P35" s="343"/>
      <c r="Q35" s="343"/>
      <c r="R35" s="343"/>
      <c r="S35" s="354"/>
      <c r="T35" s="342"/>
      <c r="U35" s="343"/>
      <c r="V35" s="343"/>
      <c r="W35" s="343"/>
      <c r="X35" s="344"/>
      <c r="Y35" s="345"/>
      <c r="Z35" s="346"/>
      <c r="AA35" s="347"/>
      <c r="AB35" s="348"/>
      <c r="AC35" s="15"/>
      <c r="AD35" s="15"/>
      <c r="AE35" s="15"/>
      <c r="AF35" s="15"/>
      <c r="AG35" s="16"/>
    </row>
    <row r="36" spans="2:33" ht="20.25" customHeight="1" x14ac:dyDescent="0.15">
      <c r="B36" s="349">
        <v>17</v>
      </c>
      <c r="C36" s="350"/>
      <c r="D36" s="351"/>
      <c r="E36" s="352"/>
      <c r="F36" s="352"/>
      <c r="G36" s="353"/>
      <c r="H36" s="342"/>
      <c r="I36" s="343"/>
      <c r="J36" s="343"/>
      <c r="K36" s="343"/>
      <c r="L36" s="343"/>
      <c r="M36" s="343"/>
      <c r="N36" s="343"/>
      <c r="O36" s="343"/>
      <c r="P36" s="343"/>
      <c r="Q36" s="343"/>
      <c r="R36" s="343"/>
      <c r="S36" s="354"/>
      <c r="T36" s="342"/>
      <c r="U36" s="343"/>
      <c r="V36" s="343"/>
      <c r="W36" s="343"/>
      <c r="X36" s="344"/>
      <c r="Y36" s="345"/>
      <c r="Z36" s="346"/>
      <c r="AA36" s="347"/>
      <c r="AB36" s="348"/>
      <c r="AC36" s="15"/>
      <c r="AD36" s="15"/>
      <c r="AE36" s="15"/>
      <c r="AF36" s="15"/>
      <c r="AG36" s="16"/>
    </row>
    <row r="37" spans="2:33" ht="20.25" customHeight="1" x14ac:dyDescent="0.15">
      <c r="B37" s="349">
        <v>18</v>
      </c>
      <c r="C37" s="350"/>
      <c r="D37" s="351"/>
      <c r="E37" s="352"/>
      <c r="F37" s="352"/>
      <c r="G37" s="353"/>
      <c r="H37" s="342"/>
      <c r="I37" s="343"/>
      <c r="J37" s="343"/>
      <c r="K37" s="343"/>
      <c r="L37" s="343"/>
      <c r="M37" s="343"/>
      <c r="N37" s="343"/>
      <c r="O37" s="343"/>
      <c r="P37" s="343"/>
      <c r="Q37" s="343"/>
      <c r="R37" s="343"/>
      <c r="S37" s="354"/>
      <c r="T37" s="342"/>
      <c r="U37" s="343"/>
      <c r="V37" s="343"/>
      <c r="W37" s="343"/>
      <c r="X37" s="344"/>
      <c r="Y37" s="345"/>
      <c r="Z37" s="346"/>
      <c r="AA37" s="347"/>
      <c r="AB37" s="348"/>
      <c r="AC37" s="15"/>
      <c r="AD37" s="15"/>
      <c r="AE37" s="15"/>
      <c r="AF37" s="15"/>
      <c r="AG37" s="16"/>
    </row>
    <row r="38" spans="2:33" ht="20.25" customHeight="1" x14ac:dyDescent="0.15">
      <c r="B38" s="349">
        <v>19</v>
      </c>
      <c r="C38" s="350"/>
      <c r="D38" s="351"/>
      <c r="E38" s="352"/>
      <c r="F38" s="352"/>
      <c r="G38" s="353"/>
      <c r="H38" s="342"/>
      <c r="I38" s="343"/>
      <c r="J38" s="343"/>
      <c r="K38" s="343"/>
      <c r="L38" s="343"/>
      <c r="M38" s="343"/>
      <c r="N38" s="343"/>
      <c r="O38" s="343"/>
      <c r="P38" s="343"/>
      <c r="Q38" s="343"/>
      <c r="R38" s="343"/>
      <c r="S38" s="354"/>
      <c r="T38" s="342"/>
      <c r="U38" s="343"/>
      <c r="V38" s="343"/>
      <c r="W38" s="343"/>
      <c r="X38" s="344"/>
      <c r="Y38" s="345"/>
      <c r="Z38" s="346"/>
      <c r="AA38" s="347"/>
      <c r="AB38" s="348"/>
      <c r="AC38" s="15"/>
      <c r="AD38" s="15"/>
      <c r="AE38" s="15"/>
      <c r="AF38" s="15"/>
      <c r="AG38" s="16"/>
    </row>
    <row r="39" spans="2:33" ht="20.25" customHeight="1" thickBot="1" x14ac:dyDescent="0.2">
      <c r="B39" s="370">
        <v>20</v>
      </c>
      <c r="C39" s="371"/>
      <c r="D39" s="372"/>
      <c r="E39" s="373"/>
      <c r="F39" s="373"/>
      <c r="G39" s="374"/>
      <c r="H39" s="375"/>
      <c r="I39" s="376"/>
      <c r="J39" s="376"/>
      <c r="K39" s="376"/>
      <c r="L39" s="376"/>
      <c r="M39" s="376"/>
      <c r="N39" s="376"/>
      <c r="O39" s="376"/>
      <c r="P39" s="376"/>
      <c r="Q39" s="376"/>
      <c r="R39" s="376"/>
      <c r="S39" s="377"/>
      <c r="T39" s="375"/>
      <c r="U39" s="376"/>
      <c r="V39" s="376"/>
      <c r="W39" s="376"/>
      <c r="X39" s="380"/>
      <c r="Y39" s="381"/>
      <c r="Z39" s="382"/>
      <c r="AA39" s="378"/>
      <c r="AB39" s="379"/>
      <c r="AC39" s="15"/>
      <c r="AD39" s="15"/>
      <c r="AE39" s="15"/>
      <c r="AF39" s="15"/>
      <c r="AG39" s="16"/>
    </row>
    <row r="40" spans="2:33" ht="4.5" customHeight="1" thickBot="1" x14ac:dyDescent="0.25">
      <c r="B40" s="15"/>
      <c r="C40" s="15"/>
      <c r="D40" s="15"/>
      <c r="E40" s="15"/>
      <c r="F40" s="15"/>
      <c r="G40" s="15"/>
      <c r="H40" s="15"/>
      <c r="I40" s="15"/>
      <c r="J40" s="15"/>
      <c r="K40" s="15"/>
      <c r="L40" s="15"/>
      <c r="M40" s="15"/>
      <c r="N40" s="15"/>
      <c r="O40" s="15"/>
      <c r="P40" s="15"/>
      <c r="Q40" s="15"/>
      <c r="R40" s="15"/>
      <c r="S40" s="15"/>
      <c r="T40" s="15"/>
      <c r="U40" s="15"/>
      <c r="V40" s="15"/>
      <c r="W40" s="15"/>
      <c r="X40" s="15"/>
      <c r="Y40" s="15"/>
      <c r="Z40" s="15"/>
      <c r="AA40" s="15"/>
      <c r="AB40" s="15"/>
      <c r="AC40" s="15"/>
      <c r="AD40" s="15"/>
      <c r="AE40" s="15"/>
      <c r="AF40" s="15"/>
      <c r="AG40" s="15"/>
    </row>
    <row r="41" spans="2:33" ht="23.25" customHeight="1" thickTop="1" x14ac:dyDescent="0.2">
      <c r="B41" s="355" t="s">
        <v>352</v>
      </c>
      <c r="C41" s="356"/>
      <c r="D41" s="356"/>
      <c r="E41" s="356"/>
      <c r="F41" s="356"/>
      <c r="G41" s="356"/>
      <c r="H41" s="559" t="s">
        <v>26</v>
      </c>
      <c r="I41" s="560"/>
      <c r="J41" s="560"/>
      <c r="K41" s="560"/>
      <c r="L41" s="560"/>
      <c r="M41" s="560"/>
      <c r="N41" s="560"/>
      <c r="O41" s="560"/>
      <c r="P41" s="560"/>
      <c r="Q41" s="560"/>
      <c r="R41" s="560"/>
      <c r="S41" s="560"/>
      <c r="T41" s="561" t="s">
        <v>1878</v>
      </c>
      <c r="U41" s="561"/>
      <c r="V41" s="561"/>
      <c r="W41" s="561"/>
      <c r="X41" s="561"/>
      <c r="Y41" s="561"/>
      <c r="Z41" s="561"/>
      <c r="AA41" s="561"/>
      <c r="AB41" s="561"/>
      <c r="AC41" s="561"/>
      <c r="AD41" s="561"/>
      <c r="AE41" s="561"/>
      <c r="AF41" s="561"/>
      <c r="AG41" s="51"/>
    </row>
    <row r="42" spans="2:33" ht="23.25" customHeight="1" thickBot="1" x14ac:dyDescent="0.25">
      <c r="B42" s="357"/>
      <c r="C42" s="358"/>
      <c r="D42" s="358"/>
      <c r="E42" s="358"/>
      <c r="F42" s="358"/>
      <c r="G42" s="358"/>
      <c r="H42" s="362" t="s">
        <v>27</v>
      </c>
      <c r="I42" s="363"/>
      <c r="J42" s="363"/>
      <c r="K42" s="363"/>
      <c r="L42" s="363"/>
      <c r="M42" s="363"/>
      <c r="N42" s="363"/>
      <c r="O42" s="363"/>
      <c r="P42" s="426"/>
      <c r="Q42" s="426"/>
      <c r="R42" s="426"/>
      <c r="S42" s="426"/>
      <c r="T42" s="426"/>
      <c r="U42" s="426"/>
      <c r="V42" s="426"/>
      <c r="W42" s="426"/>
      <c r="X42" s="426"/>
      <c r="Y42" s="426"/>
      <c r="Z42" s="426"/>
      <c r="AA42" s="426"/>
      <c r="AB42" s="426"/>
      <c r="AC42" s="426"/>
      <c r="AD42" s="426"/>
      <c r="AE42" s="426"/>
      <c r="AF42" s="426"/>
      <c r="AG42" s="32"/>
    </row>
    <row r="43" spans="2:33" ht="4.5" customHeight="1" thickTop="1" x14ac:dyDescent="0.2"/>
  </sheetData>
  <mergeCells count="176">
    <mergeCell ref="B41:G42"/>
    <mergeCell ref="H41:S41"/>
    <mergeCell ref="T41:AF41"/>
    <mergeCell ref="H42:O42"/>
    <mergeCell ref="P42:AF42"/>
    <mergeCell ref="D39:G39"/>
    <mergeCell ref="Y39:Z39"/>
    <mergeCell ref="B38:C38"/>
    <mergeCell ref="D38:G38"/>
    <mergeCell ref="H38:S38"/>
    <mergeCell ref="AA38:AB38"/>
    <mergeCell ref="Y37:Z37"/>
    <mergeCell ref="AA37:AB37"/>
    <mergeCell ref="AA36:AB36"/>
    <mergeCell ref="AA39:AB39"/>
    <mergeCell ref="B39:C39"/>
    <mergeCell ref="T38:X38"/>
    <mergeCell ref="Y38:Z38"/>
    <mergeCell ref="B36:C36"/>
    <mergeCell ref="D36:G36"/>
    <mergeCell ref="H36:S36"/>
    <mergeCell ref="T37:X37"/>
    <mergeCell ref="H39:S39"/>
    <mergeCell ref="T39:X39"/>
    <mergeCell ref="B37:C37"/>
    <mergeCell ref="D37:G37"/>
    <mergeCell ref="H37:S37"/>
    <mergeCell ref="AA35:AB35"/>
    <mergeCell ref="Y34:Z34"/>
    <mergeCell ref="AA34:AB34"/>
    <mergeCell ref="T34:X34"/>
    <mergeCell ref="B34:C34"/>
    <mergeCell ref="D34:G34"/>
    <mergeCell ref="H34:S34"/>
    <mergeCell ref="Y36:Z36"/>
    <mergeCell ref="B35:C35"/>
    <mergeCell ref="D35:G35"/>
    <mergeCell ref="T36:X36"/>
    <mergeCell ref="H35:S35"/>
    <mergeCell ref="T35:X35"/>
    <mergeCell ref="Y35:Z35"/>
    <mergeCell ref="B33:C33"/>
    <mergeCell ref="D33:G33"/>
    <mergeCell ref="H33:S33"/>
    <mergeCell ref="B31:C31"/>
    <mergeCell ref="D31:G31"/>
    <mergeCell ref="H31:S31"/>
    <mergeCell ref="Y32:Z32"/>
    <mergeCell ref="AA32:AB32"/>
    <mergeCell ref="B32:C32"/>
    <mergeCell ref="D32:G32"/>
    <mergeCell ref="H32:S32"/>
    <mergeCell ref="T32:X32"/>
    <mergeCell ref="T33:X33"/>
    <mergeCell ref="Y33:Z33"/>
    <mergeCell ref="AA33:AB33"/>
    <mergeCell ref="Y29:Z29"/>
    <mergeCell ref="AA29:AB29"/>
    <mergeCell ref="B29:C29"/>
    <mergeCell ref="D29:G29"/>
    <mergeCell ref="H29:S29"/>
    <mergeCell ref="T29:X29"/>
    <mergeCell ref="T31:X31"/>
    <mergeCell ref="Y31:Z31"/>
    <mergeCell ref="AA31:AB31"/>
    <mergeCell ref="Y30:Z30"/>
    <mergeCell ref="AA30:AB30"/>
    <mergeCell ref="B30:C30"/>
    <mergeCell ref="D30:G30"/>
    <mergeCell ref="H30:S30"/>
    <mergeCell ref="T30:X30"/>
    <mergeCell ref="Y28:Z28"/>
    <mergeCell ref="AA28:AB28"/>
    <mergeCell ref="Y27:Z27"/>
    <mergeCell ref="AA27:AB27"/>
    <mergeCell ref="B27:C27"/>
    <mergeCell ref="D27:G27"/>
    <mergeCell ref="H27:S27"/>
    <mergeCell ref="T27:X27"/>
    <mergeCell ref="H28:S28"/>
    <mergeCell ref="T28:X28"/>
    <mergeCell ref="B28:C28"/>
    <mergeCell ref="D28:G28"/>
    <mergeCell ref="AA25:AB25"/>
    <mergeCell ref="Y24:Z24"/>
    <mergeCell ref="AA24:AB24"/>
    <mergeCell ref="Y23:Z23"/>
    <mergeCell ref="AA23:AB23"/>
    <mergeCell ref="B26:C26"/>
    <mergeCell ref="D26:G26"/>
    <mergeCell ref="H26:S26"/>
    <mergeCell ref="T26:X26"/>
    <mergeCell ref="B25:C25"/>
    <mergeCell ref="D25:G25"/>
    <mergeCell ref="H25:S25"/>
    <mergeCell ref="T25:X25"/>
    <mergeCell ref="Y26:Z26"/>
    <mergeCell ref="AA26:AB26"/>
    <mergeCell ref="B24:C24"/>
    <mergeCell ref="D24:G24"/>
    <mergeCell ref="H24:S24"/>
    <mergeCell ref="T24:X24"/>
    <mergeCell ref="B23:C23"/>
    <mergeCell ref="D23:G23"/>
    <mergeCell ref="H23:S23"/>
    <mergeCell ref="T23:X23"/>
    <mergeCell ref="Y25:Z25"/>
    <mergeCell ref="H16:AG16"/>
    <mergeCell ref="Y20:Z20"/>
    <mergeCell ref="AA20:AB20"/>
    <mergeCell ref="Q15:U15"/>
    <mergeCell ref="AD19:AG19"/>
    <mergeCell ref="T17:V17"/>
    <mergeCell ref="Y22:Z22"/>
    <mergeCell ref="AA22:AB22"/>
    <mergeCell ref="H21:S21"/>
    <mergeCell ref="T21:X21"/>
    <mergeCell ref="Y21:Z21"/>
    <mergeCell ref="AA21:AB21"/>
    <mergeCell ref="B15:G16"/>
    <mergeCell ref="H15:I15"/>
    <mergeCell ref="J15:P15"/>
    <mergeCell ref="B17:G17"/>
    <mergeCell ref="H17:J17"/>
    <mergeCell ref="K17:S17"/>
    <mergeCell ref="H22:S22"/>
    <mergeCell ref="T22:X22"/>
    <mergeCell ref="V15:Z15"/>
    <mergeCell ref="B21:C21"/>
    <mergeCell ref="D21:G21"/>
    <mergeCell ref="B22:C22"/>
    <mergeCell ref="D22:G22"/>
    <mergeCell ref="W17:AA17"/>
    <mergeCell ref="H19:S19"/>
    <mergeCell ref="T19:Z19"/>
    <mergeCell ref="AA19:AB19"/>
    <mergeCell ref="AB17:AG17"/>
    <mergeCell ref="B20:C20"/>
    <mergeCell ref="D20:G20"/>
    <mergeCell ref="H20:S20"/>
    <mergeCell ref="T20:X20"/>
    <mergeCell ref="B19:G19"/>
    <mergeCell ref="AA15:AG15"/>
    <mergeCell ref="M10:AG10"/>
    <mergeCell ref="B11:AG11"/>
    <mergeCell ref="B13:G14"/>
    <mergeCell ref="H13:P13"/>
    <mergeCell ref="Q13:AG13"/>
    <mergeCell ref="H14:V14"/>
    <mergeCell ref="W14:Y14"/>
    <mergeCell ref="Z14:AG14"/>
    <mergeCell ref="B5:F6"/>
    <mergeCell ref="G5:K6"/>
    <mergeCell ref="M6:AG6"/>
    <mergeCell ref="B7:F7"/>
    <mergeCell ref="G7:K7"/>
    <mergeCell ref="M7:AG9"/>
    <mergeCell ref="B8:F8"/>
    <mergeCell ref="G8:K8"/>
    <mergeCell ref="B9:F10"/>
    <mergeCell ref="G9:K10"/>
    <mergeCell ref="W4:Z4"/>
    <mergeCell ref="AA4:AG4"/>
    <mergeCell ref="B4:F4"/>
    <mergeCell ref="G4:K4"/>
    <mergeCell ref="M4:O4"/>
    <mergeCell ref="P4:V4"/>
    <mergeCell ref="C1:R1"/>
    <mergeCell ref="S1:AG1"/>
    <mergeCell ref="B3:F3"/>
    <mergeCell ref="G3:K3"/>
    <mergeCell ref="M3:O3"/>
    <mergeCell ref="P3:V3"/>
    <mergeCell ref="W3:Z3"/>
    <mergeCell ref="AA3:AD3"/>
    <mergeCell ref="AE3:AG3"/>
  </mergeCells>
  <phoneticPr fontId="6"/>
  <dataValidations count="1">
    <dataValidation type="list" allowBlank="1" showInputMessage="1" showErrorMessage="1" sqref="Q13:AG13" xr:uid="{00000000-0002-0000-0800-000000000000}">
      <formula1>"(株)テルミ・エンタープライズ,プロテックス・アパレル(株),プラスワンインターナショナル"</formula1>
    </dataValidation>
  </dataValidations>
  <pageMargins left="0.43307086614173229" right="0.43307086614173229" top="0.47244094488188981" bottom="0.47244094488188981" header="0.31496062992125984" footer="0.31496062992125984"/>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rgb="FFFF0000"/>
  </sheetPr>
  <dimension ref="A1:I33"/>
  <sheetViews>
    <sheetView zoomScale="90" zoomScaleNormal="90" zoomScaleSheetLayoutView="100" workbookViewId="0">
      <selection activeCell="G23" sqref="G23"/>
    </sheetView>
  </sheetViews>
  <sheetFormatPr defaultColWidth="9" defaultRowHeight="13.2" x14ac:dyDescent="0.2"/>
  <cols>
    <col min="1" max="1" width="4" style="75" customWidth="1"/>
    <col min="2" max="2" width="12.88671875" style="75" customWidth="1"/>
    <col min="3" max="3" width="18.109375" style="75" customWidth="1"/>
    <col min="4" max="4" width="5.21875" style="75" customWidth="1"/>
    <col min="5" max="5" width="8.21875" style="75" customWidth="1"/>
    <col min="6" max="6" width="3.44140625" style="75" customWidth="1"/>
    <col min="7" max="7" width="21.44140625" style="75" customWidth="1"/>
    <col min="8" max="8" width="5.44140625" style="75" customWidth="1"/>
    <col min="9" max="9" width="14.21875" style="75" customWidth="1"/>
    <col min="10" max="16384" width="9" style="75"/>
  </cols>
  <sheetData>
    <row r="1" spans="1:9" ht="34.5" customHeight="1" x14ac:dyDescent="0.2">
      <c r="A1" s="578" t="s">
        <v>3767</v>
      </c>
      <c r="B1" s="579"/>
      <c r="C1" s="579"/>
      <c r="D1" s="579"/>
      <c r="E1" s="579"/>
      <c r="F1" s="579"/>
      <c r="G1" s="580"/>
      <c r="H1" s="573" t="s">
        <v>2902</v>
      </c>
      <c r="I1" s="574"/>
    </row>
    <row r="2" spans="1:9" ht="21" customHeight="1" x14ac:dyDescent="0.2">
      <c r="A2" s="77"/>
      <c r="H2" s="78"/>
      <c r="I2" s="79" t="s">
        <v>2903</v>
      </c>
    </row>
    <row r="3" spans="1:9" ht="21" customHeight="1" x14ac:dyDescent="0.2">
      <c r="A3" s="578" t="s">
        <v>3707</v>
      </c>
      <c r="B3" s="578"/>
      <c r="C3" s="578"/>
      <c r="D3" s="578"/>
      <c r="E3" s="578"/>
      <c r="F3" s="579"/>
      <c r="G3" s="580"/>
      <c r="H3" s="80"/>
      <c r="I3" s="81" t="s">
        <v>2904</v>
      </c>
    </row>
    <row r="4" spans="1:9" ht="25.5" customHeight="1" thickBot="1" x14ac:dyDescent="0.25">
      <c r="A4" s="575" t="s">
        <v>3761</v>
      </c>
      <c r="B4" s="575"/>
      <c r="C4" s="575"/>
      <c r="D4" s="575"/>
      <c r="E4" s="575"/>
      <c r="F4" s="576"/>
      <c r="G4" s="577"/>
      <c r="H4" s="82"/>
      <c r="I4" s="83" t="s">
        <v>3689</v>
      </c>
    </row>
    <row r="5" spans="1:9" ht="48" customHeight="1" thickBot="1" x14ac:dyDescent="0.25">
      <c r="A5" s="96"/>
      <c r="B5" s="96" t="s">
        <v>2905</v>
      </c>
      <c r="C5" s="581" t="s">
        <v>3708</v>
      </c>
      <c r="D5" s="581"/>
      <c r="E5" s="96" t="s">
        <v>2906</v>
      </c>
      <c r="F5" s="84" t="s">
        <v>3709</v>
      </c>
      <c r="G5" s="96" t="s">
        <v>3690</v>
      </c>
      <c r="H5" s="572" t="s">
        <v>3495</v>
      </c>
      <c r="I5" s="524"/>
    </row>
    <row r="6" spans="1:9" ht="24.9" customHeight="1" x14ac:dyDescent="0.2">
      <c r="A6" s="85">
        <v>1</v>
      </c>
      <c r="B6" s="85" t="s">
        <v>3627</v>
      </c>
      <c r="C6" s="98" t="s">
        <v>3710</v>
      </c>
      <c r="D6" s="85" t="s">
        <v>3711</v>
      </c>
      <c r="E6" s="85">
        <v>1</v>
      </c>
      <c r="F6" s="86"/>
      <c r="G6" s="99" t="s">
        <v>3700</v>
      </c>
      <c r="H6" s="564"/>
      <c r="I6" s="565"/>
    </row>
    <row r="7" spans="1:9" ht="24.9" customHeight="1" x14ac:dyDescent="0.2">
      <c r="A7" s="87">
        <v>2</v>
      </c>
      <c r="B7" s="87" t="s">
        <v>3628</v>
      </c>
      <c r="C7" s="88" t="s">
        <v>3727</v>
      </c>
      <c r="D7" s="87" t="s">
        <v>3711</v>
      </c>
      <c r="E7" s="87">
        <v>2</v>
      </c>
      <c r="F7" s="89"/>
      <c r="G7" s="90" t="s">
        <v>1878</v>
      </c>
      <c r="H7" s="562"/>
      <c r="I7" s="563"/>
    </row>
    <row r="8" spans="1:9" ht="24.9" customHeight="1" x14ac:dyDescent="0.2">
      <c r="A8" s="87">
        <v>3</v>
      </c>
      <c r="B8" s="87" t="s">
        <v>3629</v>
      </c>
      <c r="C8" s="88" t="s">
        <v>3712</v>
      </c>
      <c r="D8" s="87">
        <v>150</v>
      </c>
      <c r="E8" s="87">
        <v>3</v>
      </c>
      <c r="F8" s="89"/>
      <c r="G8" s="90" t="s">
        <v>1878</v>
      </c>
      <c r="H8" s="562"/>
      <c r="I8" s="563"/>
    </row>
    <row r="9" spans="1:9" ht="24.9" customHeight="1" x14ac:dyDescent="0.2">
      <c r="A9" s="87">
        <v>4</v>
      </c>
      <c r="B9" s="87" t="s">
        <v>3630</v>
      </c>
      <c r="C9" s="88" t="s">
        <v>3713</v>
      </c>
      <c r="D9" s="87" t="s">
        <v>3714</v>
      </c>
      <c r="E9" s="87">
        <v>1</v>
      </c>
      <c r="F9" s="89"/>
      <c r="G9" s="90" t="s">
        <v>1878</v>
      </c>
      <c r="H9" s="562"/>
      <c r="I9" s="563"/>
    </row>
    <row r="10" spans="1:9" ht="24.9" customHeight="1" x14ac:dyDescent="0.2">
      <c r="A10" s="87">
        <v>5</v>
      </c>
      <c r="B10" s="87" t="s">
        <v>3631</v>
      </c>
      <c r="C10" s="88" t="s">
        <v>3715</v>
      </c>
      <c r="D10" s="87" t="s">
        <v>3716</v>
      </c>
      <c r="E10" s="87">
        <v>2</v>
      </c>
      <c r="F10" s="89"/>
      <c r="G10" s="90" t="s">
        <v>1878</v>
      </c>
      <c r="H10" s="562"/>
      <c r="I10" s="563"/>
    </row>
    <row r="11" spans="1:9" ht="24.9" customHeight="1" x14ac:dyDescent="0.2">
      <c r="A11" s="87">
        <v>6</v>
      </c>
      <c r="B11" s="87" t="s">
        <v>3632</v>
      </c>
      <c r="C11" s="88" t="s">
        <v>3717</v>
      </c>
      <c r="D11" s="87" t="s">
        <v>3711</v>
      </c>
      <c r="E11" s="87">
        <v>5</v>
      </c>
      <c r="F11" s="89"/>
      <c r="G11" s="90" t="s">
        <v>1878</v>
      </c>
      <c r="H11" s="562"/>
      <c r="I11" s="563"/>
    </row>
    <row r="12" spans="1:9" ht="24.9" customHeight="1" x14ac:dyDescent="0.2">
      <c r="A12" s="87">
        <v>7</v>
      </c>
      <c r="B12" s="87" t="s">
        <v>3633</v>
      </c>
      <c r="C12" s="88" t="s">
        <v>3718</v>
      </c>
      <c r="D12" s="87" t="s">
        <v>3692</v>
      </c>
      <c r="E12" s="87">
        <v>1</v>
      </c>
      <c r="F12" s="89"/>
      <c r="G12" s="90" t="s">
        <v>1878</v>
      </c>
      <c r="H12" s="562"/>
      <c r="I12" s="563"/>
    </row>
    <row r="13" spans="1:9" ht="24.9" customHeight="1" x14ac:dyDescent="0.2">
      <c r="A13" s="87">
        <v>8</v>
      </c>
      <c r="B13" s="87" t="s">
        <v>3701</v>
      </c>
      <c r="C13" s="88" t="s">
        <v>3719</v>
      </c>
      <c r="D13" s="87" t="s">
        <v>3720</v>
      </c>
      <c r="E13" s="87">
        <v>2</v>
      </c>
      <c r="F13" s="89"/>
      <c r="G13" s="90" t="s">
        <v>1878</v>
      </c>
      <c r="H13" s="562"/>
      <c r="I13" s="563"/>
    </row>
    <row r="14" spans="1:9" ht="24.9" customHeight="1" x14ac:dyDescent="0.2">
      <c r="A14" s="87">
        <v>9</v>
      </c>
      <c r="B14" s="87" t="s">
        <v>3704</v>
      </c>
      <c r="C14" s="88" t="s">
        <v>3721</v>
      </c>
      <c r="D14" s="87" t="s">
        <v>3722</v>
      </c>
      <c r="E14" s="87">
        <v>3</v>
      </c>
      <c r="F14" s="89"/>
      <c r="G14" s="90" t="s">
        <v>1878</v>
      </c>
      <c r="H14" s="562"/>
      <c r="I14" s="563"/>
    </row>
    <row r="15" spans="1:9" ht="24.9" customHeight="1" x14ac:dyDescent="0.2">
      <c r="A15" s="87">
        <v>10</v>
      </c>
      <c r="B15" s="87"/>
      <c r="C15" s="88"/>
      <c r="D15" s="87"/>
      <c r="E15" s="87"/>
      <c r="F15" s="89"/>
      <c r="G15" s="90"/>
      <c r="H15" s="562"/>
      <c r="I15" s="563"/>
    </row>
    <row r="16" spans="1:9" ht="24.9" customHeight="1" x14ac:dyDescent="0.2">
      <c r="A16" s="87">
        <v>11</v>
      </c>
      <c r="B16" s="87"/>
      <c r="C16" s="88"/>
      <c r="D16" s="87"/>
      <c r="E16" s="87"/>
      <c r="F16" s="89"/>
      <c r="G16" s="90"/>
      <c r="H16" s="562"/>
      <c r="I16" s="563"/>
    </row>
    <row r="17" spans="1:9" ht="24.9" customHeight="1" x14ac:dyDescent="0.2">
      <c r="A17" s="87">
        <v>12</v>
      </c>
      <c r="B17" s="87"/>
      <c r="C17" s="88"/>
      <c r="D17" s="87"/>
      <c r="E17" s="87"/>
      <c r="F17" s="89"/>
      <c r="G17" s="90"/>
      <c r="H17" s="562"/>
      <c r="I17" s="563"/>
    </row>
    <row r="18" spans="1:9" ht="24.9" customHeight="1" x14ac:dyDescent="0.2">
      <c r="A18" s="87">
        <v>13</v>
      </c>
      <c r="B18" s="87"/>
      <c r="C18" s="88"/>
      <c r="D18" s="87"/>
      <c r="E18" s="87"/>
      <c r="F18" s="89"/>
      <c r="G18" s="90"/>
      <c r="H18" s="562"/>
      <c r="I18" s="563"/>
    </row>
    <row r="19" spans="1:9" ht="24.9" customHeight="1" x14ac:dyDescent="0.2">
      <c r="A19" s="87">
        <v>14</v>
      </c>
      <c r="B19" s="87"/>
      <c r="C19" s="88"/>
      <c r="D19" s="87"/>
      <c r="E19" s="87"/>
      <c r="F19" s="89"/>
      <c r="G19" s="90"/>
      <c r="H19" s="562"/>
      <c r="I19" s="563"/>
    </row>
    <row r="20" spans="1:9" ht="24.9" customHeight="1" x14ac:dyDescent="0.2">
      <c r="A20" s="87">
        <v>15</v>
      </c>
      <c r="B20" s="87"/>
      <c r="C20" s="88"/>
      <c r="D20" s="87"/>
      <c r="E20" s="87"/>
      <c r="F20" s="89"/>
      <c r="G20" s="90"/>
      <c r="H20" s="562"/>
      <c r="I20" s="563"/>
    </row>
    <row r="21" spans="1:9" ht="24.9" customHeight="1" x14ac:dyDescent="0.2">
      <c r="A21" s="87">
        <v>16</v>
      </c>
      <c r="B21" s="87"/>
      <c r="C21" s="88"/>
      <c r="D21" s="87"/>
      <c r="E21" s="87"/>
      <c r="F21" s="89"/>
      <c r="G21" s="90"/>
      <c r="H21" s="562"/>
      <c r="I21" s="563"/>
    </row>
    <row r="22" spans="1:9" ht="24.9" customHeight="1" x14ac:dyDescent="0.2">
      <c r="A22" s="87">
        <v>17</v>
      </c>
      <c r="B22" s="87"/>
      <c r="C22" s="88"/>
      <c r="D22" s="87"/>
      <c r="E22" s="87"/>
      <c r="F22" s="89"/>
      <c r="G22" s="90"/>
      <c r="H22" s="562"/>
      <c r="I22" s="563"/>
    </row>
    <row r="23" spans="1:9" ht="24.9" customHeight="1" x14ac:dyDescent="0.2">
      <c r="A23" s="87">
        <v>18</v>
      </c>
      <c r="B23" s="87"/>
      <c r="C23" s="88"/>
      <c r="D23" s="87"/>
      <c r="E23" s="87"/>
      <c r="F23" s="89"/>
      <c r="G23" s="90"/>
      <c r="H23" s="562"/>
      <c r="I23" s="563"/>
    </row>
    <row r="24" spans="1:9" ht="24.9" customHeight="1" x14ac:dyDescent="0.2">
      <c r="A24" s="87">
        <v>19</v>
      </c>
      <c r="B24" s="87"/>
      <c r="C24" s="88"/>
      <c r="D24" s="87"/>
      <c r="E24" s="87"/>
      <c r="F24" s="89"/>
      <c r="G24" s="90"/>
      <c r="H24" s="562"/>
      <c r="I24" s="563"/>
    </row>
    <row r="25" spans="1:9" ht="24.9" customHeight="1" x14ac:dyDescent="0.2">
      <c r="A25" s="87">
        <v>20</v>
      </c>
      <c r="B25" s="87"/>
      <c r="C25" s="88"/>
      <c r="D25" s="87"/>
      <c r="E25" s="87"/>
      <c r="F25" s="89"/>
      <c r="G25" s="90"/>
      <c r="H25" s="562"/>
      <c r="I25" s="563"/>
    </row>
    <row r="26" spans="1:9" ht="24.9" customHeight="1" x14ac:dyDescent="0.2">
      <c r="A26" s="87">
        <v>21</v>
      </c>
      <c r="B26" s="87"/>
      <c r="C26" s="88"/>
      <c r="D26" s="87"/>
      <c r="E26" s="87"/>
      <c r="F26" s="89"/>
      <c r="G26" s="90"/>
      <c r="H26" s="562"/>
      <c r="I26" s="563"/>
    </row>
    <row r="27" spans="1:9" ht="24.9" customHeight="1" x14ac:dyDescent="0.2">
      <c r="A27" s="87">
        <v>22</v>
      </c>
      <c r="B27" s="87"/>
      <c r="C27" s="88"/>
      <c r="D27" s="87"/>
      <c r="E27" s="87"/>
      <c r="F27" s="89"/>
      <c r="G27" s="90"/>
      <c r="H27" s="562"/>
      <c r="I27" s="563"/>
    </row>
    <row r="28" spans="1:9" ht="24.9" customHeight="1" x14ac:dyDescent="0.2">
      <c r="A28" s="87">
        <v>23</v>
      </c>
      <c r="B28" s="87"/>
      <c r="C28" s="88"/>
      <c r="D28" s="87"/>
      <c r="E28" s="87"/>
      <c r="F28" s="89"/>
      <c r="G28" s="90"/>
      <c r="H28" s="562"/>
      <c r="I28" s="563"/>
    </row>
    <row r="29" spans="1:9" ht="24.9" customHeight="1" x14ac:dyDescent="0.2">
      <c r="A29" s="87">
        <v>24</v>
      </c>
      <c r="B29" s="87"/>
      <c r="C29" s="88"/>
      <c r="D29" s="87"/>
      <c r="E29" s="87"/>
      <c r="F29" s="89"/>
      <c r="G29" s="90"/>
      <c r="H29" s="562"/>
      <c r="I29" s="563"/>
    </row>
    <row r="30" spans="1:9" ht="24.9" customHeight="1" thickBot="1" x14ac:dyDescent="0.25">
      <c r="A30" s="91">
        <v>25</v>
      </c>
      <c r="B30" s="91"/>
      <c r="C30" s="92"/>
      <c r="D30" s="91"/>
      <c r="E30" s="91"/>
      <c r="F30" s="93"/>
      <c r="G30" s="94"/>
      <c r="H30" s="567"/>
      <c r="I30" s="568"/>
    </row>
    <row r="31" spans="1:9" ht="24.9" customHeight="1" x14ac:dyDescent="0.2">
      <c r="A31" s="569" t="s">
        <v>2907</v>
      </c>
      <c r="B31" s="570"/>
      <c r="C31" s="570"/>
      <c r="D31" s="570"/>
      <c r="E31" s="570"/>
      <c r="F31" s="570"/>
      <c r="G31" s="570"/>
      <c r="H31" s="570"/>
      <c r="I31" s="570"/>
    </row>
    <row r="32" spans="1:9" ht="18.75" customHeight="1" x14ac:dyDescent="0.2">
      <c r="A32" s="571" t="s">
        <v>2908</v>
      </c>
      <c r="B32" s="571"/>
      <c r="C32" s="571"/>
      <c r="D32" s="571"/>
      <c r="E32" s="571"/>
      <c r="F32" s="571"/>
      <c r="G32" s="571"/>
      <c r="H32" s="571"/>
      <c r="I32" s="571"/>
    </row>
    <row r="33" spans="1:9" ht="19.5" customHeight="1" x14ac:dyDescent="0.2">
      <c r="A33" s="566" t="s">
        <v>3723</v>
      </c>
      <c r="B33" s="566"/>
      <c r="C33" s="566"/>
      <c r="D33" s="566"/>
      <c r="E33" s="566"/>
      <c r="F33" s="566"/>
      <c r="G33" s="566"/>
      <c r="H33" s="566"/>
      <c r="I33" s="566"/>
    </row>
  </sheetData>
  <mergeCells count="34">
    <mergeCell ref="H5:I5"/>
    <mergeCell ref="H1:I1"/>
    <mergeCell ref="A4:G4"/>
    <mergeCell ref="A3:G3"/>
    <mergeCell ref="A1:G1"/>
    <mergeCell ref="C5:D5"/>
    <mergeCell ref="H6:I6"/>
    <mergeCell ref="H7:I7"/>
    <mergeCell ref="A33:I33"/>
    <mergeCell ref="H20:I20"/>
    <mergeCell ref="H17:I17"/>
    <mergeCell ref="H18:I18"/>
    <mergeCell ref="H19:I19"/>
    <mergeCell ref="H30:I30"/>
    <mergeCell ref="A31:I31"/>
    <mergeCell ref="A32:I32"/>
    <mergeCell ref="H8:I8"/>
    <mergeCell ref="H9:I9"/>
    <mergeCell ref="H10:I10"/>
    <mergeCell ref="H11:I11"/>
    <mergeCell ref="H23:I23"/>
    <mergeCell ref="H29:I29"/>
    <mergeCell ref="H26:I26"/>
    <mergeCell ref="H27:I27"/>
    <mergeCell ref="H28:I28"/>
    <mergeCell ref="H12:I12"/>
    <mergeCell ref="H13:I13"/>
    <mergeCell ref="H14:I14"/>
    <mergeCell ref="H15:I15"/>
    <mergeCell ref="H16:I16"/>
    <mergeCell ref="H21:I21"/>
    <mergeCell ref="H22:I22"/>
    <mergeCell ref="H24:I24"/>
    <mergeCell ref="H25:I25"/>
  </mergeCells>
  <phoneticPr fontId="6"/>
  <pageMargins left="0.7" right="0.7" top="0.75" bottom="0.75" header="0.3" footer="0.3"/>
  <pageSetup paperSize="9" scale="95" orientation="portrait" verticalDpi="0"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5">
    <tabColor theme="5" tint="0.59999389629810485"/>
    <pageSetUpPr fitToPage="1"/>
  </sheetPr>
  <dimension ref="A1:L18"/>
  <sheetViews>
    <sheetView tabSelected="1" zoomScale="85" zoomScaleNormal="85" zoomScaleSheetLayoutView="85" workbookViewId="0">
      <selection activeCell="F8" sqref="F8"/>
    </sheetView>
  </sheetViews>
  <sheetFormatPr defaultColWidth="9" defaultRowHeight="13.2" x14ac:dyDescent="0.2"/>
  <cols>
    <col min="1" max="1" width="2.77734375" style="1" customWidth="1"/>
    <col min="2" max="2" width="19.6640625" style="1" customWidth="1"/>
    <col min="3" max="3" width="23.109375" style="1" customWidth="1"/>
    <col min="4" max="4" width="24.6640625" style="1" customWidth="1"/>
    <col min="5" max="7" width="17.6640625" style="1" customWidth="1"/>
    <col min="8" max="8" width="16.33203125" style="1" customWidth="1"/>
    <col min="9" max="9" width="21.21875" style="1" customWidth="1"/>
    <col min="10" max="16384" width="9" style="1"/>
  </cols>
  <sheetData>
    <row r="1" spans="1:12" ht="55.5" customHeight="1" x14ac:dyDescent="0.2">
      <c r="A1" s="615" t="s">
        <v>3792</v>
      </c>
      <c r="B1" s="615"/>
      <c r="C1" s="615"/>
      <c r="D1" s="615"/>
      <c r="E1" s="184">
        <f ca="1">TODAY()</f>
        <v>45831</v>
      </c>
      <c r="F1" s="584" t="s">
        <v>3793</v>
      </c>
      <c r="G1" s="585"/>
      <c r="H1" s="585"/>
      <c r="I1" s="585"/>
    </row>
    <row r="2" spans="1:12" ht="27.75" customHeight="1" thickBot="1" x14ac:dyDescent="0.25">
      <c r="A2" s="613" t="s">
        <v>3794</v>
      </c>
      <c r="B2" s="614"/>
      <c r="C2" s="614"/>
      <c r="D2" s="614"/>
      <c r="E2" s="614"/>
      <c r="F2" s="614"/>
      <c r="G2" s="614"/>
      <c r="H2" s="614"/>
      <c r="I2" s="614"/>
    </row>
    <row r="3" spans="1:12" ht="30.75" customHeight="1" x14ac:dyDescent="0.2">
      <c r="A3" s="603" t="s">
        <v>3795</v>
      </c>
      <c r="B3" s="604"/>
      <c r="C3" s="605"/>
      <c r="D3" s="606" t="s">
        <v>3796</v>
      </c>
      <c r="E3" s="607"/>
      <c r="F3" s="611" t="s">
        <v>3797</v>
      </c>
      <c r="G3" s="604"/>
      <c r="H3" s="612"/>
      <c r="I3" s="185" t="s">
        <v>3800</v>
      </c>
    </row>
    <row r="4" spans="1:12" ht="51.75" customHeight="1" x14ac:dyDescent="0.2">
      <c r="A4" s="600"/>
      <c r="B4" s="601"/>
      <c r="C4" s="602"/>
      <c r="D4" s="601"/>
      <c r="E4" s="602"/>
      <c r="F4" s="608"/>
      <c r="G4" s="609"/>
      <c r="H4" s="610"/>
      <c r="I4" s="170"/>
    </row>
    <row r="5" spans="1:12" ht="45.75" customHeight="1" thickBot="1" x14ac:dyDescent="0.25">
      <c r="A5" s="589" t="s">
        <v>3799</v>
      </c>
      <c r="B5" s="590"/>
      <c r="C5" s="169"/>
      <c r="D5" s="186" t="s">
        <v>3798</v>
      </c>
      <c r="E5" s="168"/>
      <c r="F5" s="152" t="s">
        <v>3785</v>
      </c>
      <c r="G5" s="162"/>
      <c r="H5" s="153" t="s">
        <v>3791</v>
      </c>
      <c r="I5" s="163"/>
      <c r="J5"/>
    </row>
    <row r="6" spans="1:12" ht="12.75" customHeight="1" thickBot="1" x14ac:dyDescent="0.25">
      <c r="A6" s="110"/>
      <c r="B6" s="110"/>
      <c r="C6" s="110"/>
      <c r="D6" s="110"/>
      <c r="E6" s="110"/>
      <c r="F6" s="110"/>
      <c r="G6" s="110"/>
      <c r="H6" s="110"/>
      <c r="I6" s="110"/>
    </row>
    <row r="7" spans="1:12" ht="39" customHeight="1" x14ac:dyDescent="0.2">
      <c r="A7" s="156"/>
      <c r="B7" s="164" t="s">
        <v>3784</v>
      </c>
      <c r="C7" s="165" t="s">
        <v>3788</v>
      </c>
      <c r="D7" s="165" t="s">
        <v>3781</v>
      </c>
      <c r="E7" s="166" t="s">
        <v>3782</v>
      </c>
      <c r="F7" s="167" t="s">
        <v>3783</v>
      </c>
      <c r="G7" s="586" t="s">
        <v>3790</v>
      </c>
      <c r="H7" s="587"/>
      <c r="I7" s="588"/>
    </row>
    <row r="8" spans="1:12" ht="33" customHeight="1" x14ac:dyDescent="0.2">
      <c r="A8" s="157">
        <v>1</v>
      </c>
      <c r="B8" s="171"/>
      <c r="C8" s="171"/>
      <c r="D8" s="172"/>
      <c r="E8" s="173"/>
      <c r="F8" s="174"/>
      <c r="G8" s="591"/>
      <c r="H8" s="592"/>
      <c r="I8" s="593"/>
    </row>
    <row r="9" spans="1:12" ht="33" customHeight="1" x14ac:dyDescent="0.2">
      <c r="A9" s="158">
        <v>2</v>
      </c>
      <c r="B9" s="175"/>
      <c r="C9" s="175"/>
      <c r="D9" s="176"/>
      <c r="E9" s="177"/>
      <c r="F9" s="178"/>
      <c r="G9" s="594"/>
      <c r="H9" s="595"/>
      <c r="I9" s="596"/>
    </row>
    <row r="10" spans="1:12" ht="33" customHeight="1" x14ac:dyDescent="0.2">
      <c r="A10" s="158">
        <v>3</v>
      </c>
      <c r="B10" s="175"/>
      <c r="C10" s="175"/>
      <c r="D10" s="176"/>
      <c r="E10" s="177"/>
      <c r="F10" s="178"/>
      <c r="G10" s="594"/>
      <c r="H10" s="595"/>
      <c r="I10" s="596"/>
    </row>
    <row r="11" spans="1:12" ht="33" customHeight="1" x14ac:dyDescent="0.2">
      <c r="A11" s="158">
        <v>4</v>
      </c>
      <c r="B11" s="175"/>
      <c r="C11" s="175"/>
      <c r="D11" s="176"/>
      <c r="E11" s="177"/>
      <c r="F11" s="178"/>
      <c r="G11" s="594"/>
      <c r="H11" s="595"/>
      <c r="I11" s="596"/>
    </row>
    <row r="12" spans="1:12" ht="33" customHeight="1" x14ac:dyDescent="0.2">
      <c r="A12" s="154">
        <v>5</v>
      </c>
      <c r="B12" s="175"/>
      <c r="C12" s="175"/>
      <c r="D12" s="176"/>
      <c r="E12" s="177"/>
      <c r="F12" s="179"/>
      <c r="G12" s="594"/>
      <c r="H12" s="595"/>
      <c r="I12" s="596"/>
      <c r="L12"/>
    </row>
    <row r="13" spans="1:12" ht="33" customHeight="1" x14ac:dyDescent="0.2">
      <c r="A13" s="154">
        <v>6</v>
      </c>
      <c r="B13" s="175"/>
      <c r="C13" s="175"/>
      <c r="D13" s="176"/>
      <c r="E13" s="177"/>
      <c r="F13" s="179"/>
      <c r="G13" s="594"/>
      <c r="H13" s="595"/>
      <c r="I13" s="596"/>
    </row>
    <row r="14" spans="1:12" ht="33" customHeight="1" x14ac:dyDescent="0.2">
      <c r="A14" s="154">
        <v>7</v>
      </c>
      <c r="B14" s="175"/>
      <c r="C14" s="175"/>
      <c r="D14" s="176"/>
      <c r="E14" s="177"/>
      <c r="F14" s="179"/>
      <c r="G14" s="594"/>
      <c r="H14" s="595"/>
      <c r="I14" s="596"/>
    </row>
    <row r="15" spans="1:12" ht="33" customHeight="1" x14ac:dyDescent="0.2">
      <c r="A15" s="154">
        <v>8</v>
      </c>
      <c r="B15" s="175"/>
      <c r="C15" s="175"/>
      <c r="D15" s="176"/>
      <c r="E15" s="177"/>
      <c r="F15" s="179"/>
      <c r="G15" s="594"/>
      <c r="H15" s="595"/>
      <c r="I15" s="596"/>
    </row>
    <row r="16" spans="1:12" ht="33" customHeight="1" x14ac:dyDescent="0.2">
      <c r="A16" s="154">
        <v>9</v>
      </c>
      <c r="B16" s="175"/>
      <c r="C16" s="175"/>
      <c r="D16" s="176"/>
      <c r="E16" s="177"/>
      <c r="F16" s="179"/>
      <c r="G16" s="594"/>
      <c r="H16" s="595"/>
      <c r="I16" s="596"/>
    </row>
    <row r="17" spans="1:9" ht="33" customHeight="1" thickBot="1" x14ac:dyDescent="0.25">
      <c r="A17" s="155">
        <v>10</v>
      </c>
      <c r="B17" s="180"/>
      <c r="C17" s="181"/>
      <c r="D17" s="182"/>
      <c r="E17" s="183"/>
      <c r="F17" s="179"/>
      <c r="G17" s="597"/>
      <c r="H17" s="598"/>
      <c r="I17" s="599"/>
    </row>
    <row r="18" spans="1:9" ht="41.25" customHeight="1" thickBot="1" x14ac:dyDescent="0.25">
      <c r="A18" s="582" t="s">
        <v>12</v>
      </c>
      <c r="B18" s="582"/>
      <c r="C18" s="582"/>
      <c r="D18" s="582"/>
      <c r="E18" s="583"/>
      <c r="F18" s="151">
        <f>SUM(F8:F17)</f>
        <v>0</v>
      </c>
      <c r="G18" s="159" t="s">
        <v>3789</v>
      </c>
      <c r="H18" s="160" t="s">
        <v>3786</v>
      </c>
      <c r="I18" s="161" t="s">
        <v>3787</v>
      </c>
    </row>
  </sheetData>
  <mergeCells count="13">
    <mergeCell ref="A18:E18"/>
    <mergeCell ref="F1:I1"/>
    <mergeCell ref="G7:I7"/>
    <mergeCell ref="A5:B5"/>
    <mergeCell ref="G8:I17"/>
    <mergeCell ref="A4:C4"/>
    <mergeCell ref="D4:E4"/>
    <mergeCell ref="A3:C3"/>
    <mergeCell ref="D3:E3"/>
    <mergeCell ref="F4:H4"/>
    <mergeCell ref="F3:H3"/>
    <mergeCell ref="A2:I2"/>
    <mergeCell ref="A1:D1"/>
  </mergeCells>
  <phoneticPr fontId="6"/>
  <printOptions horizontalCentered="1" verticalCentered="1"/>
  <pageMargins left="0.23622047244094491" right="0.23622047244094491" top="0.39370078740157483" bottom="0.39370078740157483" header="0.31496062992125984" footer="0.31496062992125984"/>
  <pageSetup paperSize="9" scale="9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5061" r:id="rId4" name="Button 5">
              <controlPr defaultSize="0" print="0" autoFill="0" autoPict="0" macro="[0]!デスクトップに保存">
                <anchor moveWithCells="1" sizeWithCells="1">
                  <from>
                    <xdr:col>8</xdr:col>
                    <xdr:colOff>403860</xdr:colOff>
                    <xdr:row>0</xdr:row>
                    <xdr:rowOff>121920</xdr:rowOff>
                  </from>
                  <to>
                    <xdr:col>9</xdr:col>
                    <xdr:colOff>7620</xdr:colOff>
                    <xdr:row>0</xdr:row>
                    <xdr:rowOff>579120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tabColor theme="3" tint="0.59999389629810485"/>
  </sheetPr>
  <dimension ref="A1:H1753"/>
  <sheetViews>
    <sheetView zoomScaleNormal="100" workbookViewId="0">
      <pane ySplit="1" topLeftCell="A1357" activePane="bottomLeft" state="frozen"/>
      <selection activeCell="C1731" sqref="C1731"/>
      <selection pane="bottomLeft" activeCell="C1371" sqref="C1371"/>
    </sheetView>
  </sheetViews>
  <sheetFormatPr defaultRowHeight="15" customHeight="1" x14ac:dyDescent="0.2"/>
  <cols>
    <col min="1" max="1" width="10.6640625" style="27" customWidth="1"/>
    <col min="2" max="2" width="13.21875" customWidth="1"/>
    <col min="3" max="3" width="45.109375" customWidth="1"/>
    <col min="4" max="4" width="10" customWidth="1"/>
    <col min="5" max="5" width="10.88671875" customWidth="1"/>
    <col min="7" max="7" width="22.77734375" customWidth="1"/>
  </cols>
  <sheetData>
    <row r="1" spans="1:5" s="1" customFormat="1" ht="15" customHeight="1" x14ac:dyDescent="0.2">
      <c r="A1" s="1" t="s">
        <v>3130</v>
      </c>
      <c r="B1" s="63" t="s">
        <v>3465</v>
      </c>
      <c r="C1" s="1" t="s">
        <v>3131</v>
      </c>
      <c r="D1" s="1" t="s">
        <v>3494</v>
      </c>
      <c r="E1" s="1" t="s">
        <v>3460</v>
      </c>
    </row>
    <row r="2" spans="1:5" s="39" customFormat="1" ht="15" customHeight="1" x14ac:dyDescent="0.2">
      <c r="A2" s="38" t="s">
        <v>410</v>
      </c>
      <c r="B2" s="39" t="s">
        <v>410</v>
      </c>
      <c r="C2" s="39" t="s">
        <v>411</v>
      </c>
      <c r="D2" s="39" t="s">
        <v>409</v>
      </c>
      <c r="E2" t="s">
        <v>3488</v>
      </c>
    </row>
    <row r="3" spans="1:5" ht="15" customHeight="1" x14ac:dyDescent="0.2">
      <c r="A3" s="27" t="s">
        <v>410</v>
      </c>
      <c r="B3" t="s">
        <v>410</v>
      </c>
      <c r="C3" t="s">
        <v>411</v>
      </c>
      <c r="D3" t="s">
        <v>3488</v>
      </c>
      <c r="E3" t="s">
        <v>3488</v>
      </c>
    </row>
    <row r="4" spans="1:5" ht="15" customHeight="1" x14ac:dyDescent="0.2">
      <c r="A4" s="27" t="s">
        <v>412</v>
      </c>
      <c r="B4" t="s">
        <v>412</v>
      </c>
      <c r="C4" t="s">
        <v>413</v>
      </c>
      <c r="D4" t="s">
        <v>3488</v>
      </c>
      <c r="E4" t="s">
        <v>3488</v>
      </c>
    </row>
    <row r="5" spans="1:5" ht="15" customHeight="1" x14ac:dyDescent="0.2">
      <c r="A5" s="27" t="s">
        <v>414</v>
      </c>
      <c r="B5" t="s">
        <v>414</v>
      </c>
      <c r="C5" t="s">
        <v>415</v>
      </c>
      <c r="D5" t="s">
        <v>3488</v>
      </c>
      <c r="E5" t="s">
        <v>3488</v>
      </c>
    </row>
    <row r="6" spans="1:5" ht="15" customHeight="1" x14ac:dyDescent="0.2">
      <c r="A6" s="27" t="s">
        <v>416</v>
      </c>
      <c r="B6" t="s">
        <v>416</v>
      </c>
      <c r="C6" t="s">
        <v>417</v>
      </c>
      <c r="D6" t="s">
        <v>3488</v>
      </c>
      <c r="E6" t="s">
        <v>3488</v>
      </c>
    </row>
    <row r="7" spans="1:5" ht="15" customHeight="1" x14ac:dyDescent="0.2">
      <c r="A7" s="27" t="s">
        <v>424</v>
      </c>
      <c r="B7" t="s">
        <v>424</v>
      </c>
      <c r="C7" t="s">
        <v>425</v>
      </c>
      <c r="D7" t="s">
        <v>3488</v>
      </c>
      <c r="E7" t="s">
        <v>3488</v>
      </c>
    </row>
    <row r="8" spans="1:5" ht="15" customHeight="1" x14ac:dyDescent="0.2">
      <c r="A8" s="27" t="s">
        <v>48</v>
      </c>
      <c r="B8" t="s">
        <v>49</v>
      </c>
      <c r="C8" t="s">
        <v>50</v>
      </c>
      <c r="D8" t="s">
        <v>3488</v>
      </c>
      <c r="E8" t="s">
        <v>3488</v>
      </c>
    </row>
    <row r="9" spans="1:5" ht="15" customHeight="1" x14ac:dyDescent="0.2">
      <c r="A9" s="27" t="s">
        <v>426</v>
      </c>
      <c r="B9" t="s">
        <v>426</v>
      </c>
      <c r="C9" t="s">
        <v>427</v>
      </c>
      <c r="D9" t="s">
        <v>3488</v>
      </c>
      <c r="E9" t="s">
        <v>3488</v>
      </c>
    </row>
    <row r="10" spans="1:5" ht="15" customHeight="1" x14ac:dyDescent="0.2">
      <c r="A10" s="27" t="s">
        <v>428</v>
      </c>
      <c r="B10" t="s">
        <v>428</v>
      </c>
      <c r="C10" t="s">
        <v>429</v>
      </c>
      <c r="D10" t="s">
        <v>3488</v>
      </c>
      <c r="E10" t="s">
        <v>3488</v>
      </c>
    </row>
    <row r="11" spans="1:5" ht="15" customHeight="1" x14ac:dyDescent="0.2">
      <c r="A11" s="27" t="s">
        <v>430</v>
      </c>
      <c r="B11" t="s">
        <v>430</v>
      </c>
      <c r="C11" t="s">
        <v>431</v>
      </c>
      <c r="D11" t="s">
        <v>3488</v>
      </c>
      <c r="E11" t="s">
        <v>3488</v>
      </c>
    </row>
    <row r="12" spans="1:5" ht="15" customHeight="1" x14ac:dyDescent="0.2">
      <c r="A12" s="27" t="s">
        <v>432</v>
      </c>
      <c r="B12" t="s">
        <v>432</v>
      </c>
      <c r="C12" t="s">
        <v>433</v>
      </c>
      <c r="D12" t="s">
        <v>3488</v>
      </c>
      <c r="E12" t="s">
        <v>3488</v>
      </c>
    </row>
    <row r="13" spans="1:5" ht="15" customHeight="1" x14ac:dyDescent="0.2">
      <c r="A13" s="27" t="s">
        <v>434</v>
      </c>
      <c r="B13" t="s">
        <v>434</v>
      </c>
      <c r="C13" t="s">
        <v>435</v>
      </c>
      <c r="D13" t="s">
        <v>3488</v>
      </c>
      <c r="E13" t="s">
        <v>3488</v>
      </c>
    </row>
    <row r="14" spans="1:5" ht="15" customHeight="1" x14ac:dyDescent="0.2">
      <c r="A14" s="27" t="s">
        <v>436</v>
      </c>
      <c r="B14" t="s">
        <v>436</v>
      </c>
      <c r="C14" t="s">
        <v>437</v>
      </c>
      <c r="D14" t="s">
        <v>3488</v>
      </c>
      <c r="E14" t="s">
        <v>3488</v>
      </c>
    </row>
    <row r="15" spans="1:5" ht="15" customHeight="1" x14ac:dyDescent="0.2">
      <c r="A15" s="27" t="s">
        <v>438</v>
      </c>
      <c r="B15" t="s">
        <v>438</v>
      </c>
      <c r="C15" t="s">
        <v>439</v>
      </c>
      <c r="D15" t="s">
        <v>3488</v>
      </c>
      <c r="E15" t="s">
        <v>3488</v>
      </c>
    </row>
    <row r="16" spans="1:5" ht="15" customHeight="1" x14ac:dyDescent="0.2">
      <c r="A16" s="27" t="s">
        <v>440</v>
      </c>
      <c r="B16" t="s">
        <v>440</v>
      </c>
      <c r="C16" t="s">
        <v>441</v>
      </c>
      <c r="D16" t="s">
        <v>3488</v>
      </c>
      <c r="E16" t="s">
        <v>3488</v>
      </c>
    </row>
    <row r="17" spans="1:5" ht="15" customHeight="1" x14ac:dyDescent="0.2">
      <c r="A17" s="27" t="s">
        <v>442</v>
      </c>
      <c r="B17" t="s">
        <v>442</v>
      </c>
      <c r="C17" t="s">
        <v>443</v>
      </c>
      <c r="D17" t="s">
        <v>3488</v>
      </c>
      <c r="E17" t="s">
        <v>3488</v>
      </c>
    </row>
    <row r="18" spans="1:5" ht="15" customHeight="1" x14ac:dyDescent="0.2">
      <c r="A18" s="27" t="s">
        <v>444</v>
      </c>
      <c r="B18" t="s">
        <v>444</v>
      </c>
      <c r="C18" t="s">
        <v>445</v>
      </c>
      <c r="D18" t="s">
        <v>3488</v>
      </c>
      <c r="E18" t="s">
        <v>3488</v>
      </c>
    </row>
    <row r="19" spans="1:5" ht="15" customHeight="1" x14ac:dyDescent="0.2">
      <c r="A19" s="27" t="s">
        <v>31</v>
      </c>
      <c r="B19" t="s">
        <v>32</v>
      </c>
      <c r="C19" t="s">
        <v>33</v>
      </c>
      <c r="D19" t="s">
        <v>3488</v>
      </c>
      <c r="E19" t="s">
        <v>3488</v>
      </c>
    </row>
    <row r="20" spans="1:5" ht="15" customHeight="1" x14ac:dyDescent="0.2">
      <c r="A20" s="27" t="s">
        <v>418</v>
      </c>
      <c r="B20" t="s">
        <v>418</v>
      </c>
      <c r="C20" t="s">
        <v>419</v>
      </c>
      <c r="D20" t="s">
        <v>3488</v>
      </c>
      <c r="E20" t="s">
        <v>3488</v>
      </c>
    </row>
    <row r="21" spans="1:5" ht="15" customHeight="1" x14ac:dyDescent="0.2">
      <c r="A21" s="27" t="s">
        <v>420</v>
      </c>
      <c r="B21" t="s">
        <v>420</v>
      </c>
      <c r="C21" t="s">
        <v>421</v>
      </c>
      <c r="D21" t="s">
        <v>3488</v>
      </c>
      <c r="E21" t="s">
        <v>3488</v>
      </c>
    </row>
    <row r="22" spans="1:5" ht="15" customHeight="1" x14ac:dyDescent="0.2">
      <c r="A22" s="27" t="s">
        <v>422</v>
      </c>
      <c r="B22" t="s">
        <v>422</v>
      </c>
      <c r="C22" t="s">
        <v>423</v>
      </c>
      <c r="D22" t="s">
        <v>3488</v>
      </c>
      <c r="E22" t="s">
        <v>3488</v>
      </c>
    </row>
    <row r="23" spans="1:5" ht="15" customHeight="1" x14ac:dyDescent="0.2">
      <c r="A23" s="27" t="s">
        <v>37</v>
      </c>
      <c r="B23" t="s">
        <v>38</v>
      </c>
      <c r="C23" t="s">
        <v>39</v>
      </c>
      <c r="D23" t="s">
        <v>3488</v>
      </c>
      <c r="E23" t="s">
        <v>3488</v>
      </c>
    </row>
    <row r="24" spans="1:5" ht="15" customHeight="1" x14ac:dyDescent="0.2">
      <c r="A24" s="27" t="s">
        <v>65</v>
      </c>
      <c r="B24" t="s">
        <v>65</v>
      </c>
      <c r="C24" t="s">
        <v>66</v>
      </c>
      <c r="D24" t="s">
        <v>3488</v>
      </c>
      <c r="E24" t="s">
        <v>3488</v>
      </c>
    </row>
    <row r="25" spans="1:5" ht="15" customHeight="1" x14ac:dyDescent="0.2">
      <c r="A25" t="s">
        <v>259</v>
      </c>
      <c r="B25" t="s">
        <v>259</v>
      </c>
      <c r="C25" t="s">
        <v>258</v>
      </c>
      <c r="D25" t="s">
        <v>3488</v>
      </c>
      <c r="E25" t="s">
        <v>3488</v>
      </c>
    </row>
    <row r="26" spans="1:5" ht="15" customHeight="1" x14ac:dyDescent="0.2">
      <c r="A26" t="s">
        <v>257</v>
      </c>
      <c r="B26" t="s">
        <v>257</v>
      </c>
      <c r="C26" t="s">
        <v>256</v>
      </c>
      <c r="D26" t="s">
        <v>3488</v>
      </c>
      <c r="E26" t="s">
        <v>3488</v>
      </c>
    </row>
    <row r="27" spans="1:5" ht="15" customHeight="1" x14ac:dyDescent="0.2">
      <c r="A27" t="s">
        <v>255</v>
      </c>
      <c r="B27" t="s">
        <v>255</v>
      </c>
      <c r="C27" t="s">
        <v>254</v>
      </c>
      <c r="D27" t="s">
        <v>3488</v>
      </c>
      <c r="E27" t="s">
        <v>3488</v>
      </c>
    </row>
    <row r="28" spans="1:5" ht="15" customHeight="1" x14ac:dyDescent="0.2">
      <c r="A28" t="s">
        <v>253</v>
      </c>
      <c r="B28" t="s">
        <v>253</v>
      </c>
      <c r="C28" t="s">
        <v>252</v>
      </c>
      <c r="D28" t="s">
        <v>3488</v>
      </c>
      <c r="E28" t="s">
        <v>3488</v>
      </c>
    </row>
    <row r="29" spans="1:5" ht="15" customHeight="1" x14ac:dyDescent="0.2">
      <c r="A29" t="s">
        <v>251</v>
      </c>
      <c r="B29" t="s">
        <v>251</v>
      </c>
      <c r="C29" t="s">
        <v>250</v>
      </c>
      <c r="D29" t="s">
        <v>3488</v>
      </c>
      <c r="E29" t="s">
        <v>3488</v>
      </c>
    </row>
    <row r="30" spans="1:5" ht="15" customHeight="1" x14ac:dyDescent="0.2">
      <c r="A30" t="s">
        <v>249</v>
      </c>
      <c r="B30" t="s">
        <v>249</v>
      </c>
      <c r="C30" t="s">
        <v>262</v>
      </c>
      <c r="D30" t="s">
        <v>3488</v>
      </c>
      <c r="E30" t="s">
        <v>3488</v>
      </c>
    </row>
    <row r="31" spans="1:5" ht="15" customHeight="1" x14ac:dyDescent="0.2">
      <c r="A31" t="s">
        <v>2671</v>
      </c>
      <c r="B31" t="s">
        <v>2672</v>
      </c>
      <c r="C31" t="s">
        <v>2673</v>
      </c>
      <c r="D31" t="s">
        <v>3488</v>
      </c>
      <c r="E31" t="s">
        <v>3488</v>
      </c>
    </row>
    <row r="32" spans="1:5" ht="15" customHeight="1" x14ac:dyDescent="0.2">
      <c r="A32" t="s">
        <v>248</v>
      </c>
      <c r="B32" t="s">
        <v>248</v>
      </c>
      <c r="C32" t="s">
        <v>247</v>
      </c>
      <c r="D32" t="s">
        <v>3488</v>
      </c>
      <c r="E32" t="s">
        <v>3488</v>
      </c>
    </row>
    <row r="33" spans="1:5" ht="15" customHeight="1" x14ac:dyDescent="0.2">
      <c r="A33" t="s">
        <v>246</v>
      </c>
      <c r="B33" t="s">
        <v>246</v>
      </c>
      <c r="C33" t="s">
        <v>245</v>
      </c>
      <c r="D33" t="s">
        <v>3488</v>
      </c>
      <c r="E33" t="s">
        <v>3488</v>
      </c>
    </row>
    <row r="34" spans="1:5" ht="15" customHeight="1" x14ac:dyDescent="0.2">
      <c r="A34" t="s">
        <v>244</v>
      </c>
      <c r="B34" t="s">
        <v>244</v>
      </c>
      <c r="C34" t="s">
        <v>243</v>
      </c>
      <c r="D34" t="s">
        <v>3488</v>
      </c>
      <c r="E34" t="s">
        <v>3488</v>
      </c>
    </row>
    <row r="35" spans="1:5" ht="15" customHeight="1" x14ac:dyDescent="0.2">
      <c r="A35" t="s">
        <v>242</v>
      </c>
      <c r="B35" t="s">
        <v>242</v>
      </c>
      <c r="C35" t="s">
        <v>241</v>
      </c>
      <c r="D35" t="s">
        <v>3488</v>
      </c>
      <c r="E35" t="s">
        <v>3488</v>
      </c>
    </row>
    <row r="36" spans="1:5" ht="15" customHeight="1" x14ac:dyDescent="0.2">
      <c r="A36" t="s">
        <v>240</v>
      </c>
      <c r="B36" t="s">
        <v>240</v>
      </c>
      <c r="C36" t="s">
        <v>260</v>
      </c>
      <c r="D36" t="s">
        <v>3488</v>
      </c>
      <c r="E36" t="s">
        <v>3488</v>
      </c>
    </row>
    <row r="37" spans="1:5" ht="15" customHeight="1" x14ac:dyDescent="0.2">
      <c r="A37" t="s">
        <v>239</v>
      </c>
      <c r="B37" t="s">
        <v>239</v>
      </c>
      <c r="C37" t="s">
        <v>261</v>
      </c>
      <c r="D37" t="s">
        <v>3488</v>
      </c>
      <c r="E37" t="s">
        <v>3488</v>
      </c>
    </row>
    <row r="38" spans="1:5" ht="15" customHeight="1" x14ac:dyDescent="0.2">
      <c r="A38" t="s">
        <v>890</v>
      </c>
      <c r="B38" t="s">
        <v>890</v>
      </c>
      <c r="C38" t="s">
        <v>891</v>
      </c>
      <c r="D38" t="s">
        <v>3488</v>
      </c>
      <c r="E38" t="s">
        <v>3488</v>
      </c>
    </row>
    <row r="39" spans="1:5" ht="15" customHeight="1" x14ac:dyDescent="0.2">
      <c r="A39" s="27">
        <v>979</v>
      </c>
      <c r="B39">
        <v>979</v>
      </c>
      <c r="C39" t="s">
        <v>446</v>
      </c>
      <c r="D39" t="s">
        <v>3466</v>
      </c>
      <c r="E39" t="s">
        <v>3467</v>
      </c>
    </row>
    <row r="40" spans="1:5" ht="15" customHeight="1" x14ac:dyDescent="0.2">
      <c r="A40" s="27">
        <v>1038</v>
      </c>
      <c r="B40">
        <v>1038</v>
      </c>
      <c r="C40" t="s">
        <v>1923</v>
      </c>
      <c r="D40" t="s">
        <v>3470</v>
      </c>
      <c r="E40" t="s">
        <v>3470</v>
      </c>
    </row>
    <row r="41" spans="1:5" ht="15" customHeight="1" x14ac:dyDescent="0.2">
      <c r="A41" s="27">
        <v>1500</v>
      </c>
      <c r="B41">
        <v>1500</v>
      </c>
      <c r="C41" t="s">
        <v>592</v>
      </c>
      <c r="D41" t="s">
        <v>3470</v>
      </c>
      <c r="E41" t="s">
        <v>3470</v>
      </c>
    </row>
    <row r="42" spans="1:5" ht="15" customHeight="1" x14ac:dyDescent="0.2">
      <c r="A42" s="27">
        <v>1626</v>
      </c>
      <c r="B42">
        <v>1626</v>
      </c>
      <c r="C42" t="s">
        <v>662</v>
      </c>
      <c r="D42" t="s">
        <v>3470</v>
      </c>
      <c r="E42" t="s">
        <v>3470</v>
      </c>
    </row>
    <row r="43" spans="1:5" ht="15" customHeight="1" x14ac:dyDescent="0.2">
      <c r="A43" s="27">
        <v>1795</v>
      </c>
      <c r="B43">
        <v>1795</v>
      </c>
      <c r="C43" t="s">
        <v>617</v>
      </c>
      <c r="D43" t="s">
        <v>3470</v>
      </c>
      <c r="E43" t="s">
        <v>3470</v>
      </c>
    </row>
    <row r="44" spans="1:5" ht="15" customHeight="1" x14ac:dyDescent="0.2">
      <c r="A44" s="27">
        <v>1816</v>
      </c>
      <c r="B44">
        <v>1816</v>
      </c>
      <c r="C44" t="s">
        <v>626</v>
      </c>
      <c r="D44" t="s">
        <v>3470</v>
      </c>
      <c r="E44" t="s">
        <v>3470</v>
      </c>
    </row>
    <row r="45" spans="1:5" ht="15" customHeight="1" x14ac:dyDescent="0.2">
      <c r="A45" s="27">
        <v>1817</v>
      </c>
      <c r="B45">
        <v>1817</v>
      </c>
      <c r="C45" t="s">
        <v>629</v>
      </c>
      <c r="D45" t="s">
        <v>3470</v>
      </c>
      <c r="E45" t="s">
        <v>3470</v>
      </c>
    </row>
    <row r="46" spans="1:5" ht="15" customHeight="1" x14ac:dyDescent="0.2">
      <c r="A46" s="27">
        <v>1888</v>
      </c>
      <c r="B46">
        <v>1888</v>
      </c>
      <c r="C46" t="s">
        <v>630</v>
      </c>
      <c r="D46" t="s">
        <v>3470</v>
      </c>
      <c r="E46" t="s">
        <v>3470</v>
      </c>
    </row>
    <row r="47" spans="1:5" ht="15" customHeight="1" x14ac:dyDescent="0.2">
      <c r="A47" s="27">
        <v>1908</v>
      </c>
      <c r="B47">
        <v>1908</v>
      </c>
      <c r="C47" t="s">
        <v>631</v>
      </c>
      <c r="D47" t="s">
        <v>3470</v>
      </c>
      <c r="E47" t="s">
        <v>3470</v>
      </c>
    </row>
    <row r="48" spans="1:5" ht="15" customHeight="1" x14ac:dyDescent="0.2">
      <c r="A48" s="27">
        <v>1937</v>
      </c>
      <c r="B48">
        <v>1937</v>
      </c>
      <c r="C48" t="s">
        <v>632</v>
      </c>
      <c r="D48" t="s">
        <v>3470</v>
      </c>
      <c r="E48" t="s">
        <v>3470</v>
      </c>
    </row>
    <row r="49" spans="1:5" ht="15" customHeight="1" x14ac:dyDescent="0.2">
      <c r="A49" s="27">
        <v>1941</v>
      </c>
      <c r="B49">
        <v>1941</v>
      </c>
      <c r="C49" t="s">
        <v>633</v>
      </c>
      <c r="D49" t="s">
        <v>3470</v>
      </c>
      <c r="E49" t="s">
        <v>3470</v>
      </c>
    </row>
    <row r="50" spans="1:5" ht="15" customHeight="1" x14ac:dyDescent="0.2">
      <c r="A50" s="27">
        <v>1968</v>
      </c>
      <c r="B50">
        <v>1968</v>
      </c>
      <c r="C50" t="s">
        <v>1954</v>
      </c>
      <c r="D50" t="s">
        <v>3470</v>
      </c>
      <c r="E50" t="s">
        <v>3470</v>
      </c>
    </row>
    <row r="51" spans="1:5" ht="15" customHeight="1" x14ac:dyDescent="0.2">
      <c r="A51" s="27">
        <v>1978</v>
      </c>
      <c r="B51">
        <v>1978</v>
      </c>
      <c r="C51" t="s">
        <v>636</v>
      </c>
      <c r="D51" t="s">
        <v>3470</v>
      </c>
      <c r="E51" t="s">
        <v>3470</v>
      </c>
    </row>
    <row r="52" spans="1:5" ht="15" customHeight="1" x14ac:dyDescent="0.2">
      <c r="A52" s="27">
        <v>1980</v>
      </c>
      <c r="B52">
        <v>1980</v>
      </c>
      <c r="C52" t="s">
        <v>637</v>
      </c>
      <c r="D52" t="s">
        <v>3470</v>
      </c>
      <c r="E52" t="s">
        <v>3470</v>
      </c>
    </row>
    <row r="53" spans="1:5" ht="15" customHeight="1" x14ac:dyDescent="0.2">
      <c r="A53" s="27">
        <v>1981</v>
      </c>
      <c r="B53">
        <v>1981</v>
      </c>
      <c r="C53" t="s">
        <v>638</v>
      </c>
      <c r="D53" t="s">
        <v>3470</v>
      </c>
      <c r="E53" t="s">
        <v>3470</v>
      </c>
    </row>
    <row r="54" spans="1:5" ht="15" customHeight="1" x14ac:dyDescent="0.2">
      <c r="A54" s="27">
        <v>1987</v>
      </c>
      <c r="B54">
        <v>1987</v>
      </c>
      <c r="C54" t="s">
        <v>641</v>
      </c>
      <c r="D54" t="s">
        <v>3470</v>
      </c>
      <c r="E54" t="s">
        <v>3470</v>
      </c>
    </row>
    <row r="55" spans="1:5" ht="15" customHeight="1" x14ac:dyDescent="0.2">
      <c r="A55" s="27">
        <v>1989</v>
      </c>
      <c r="B55">
        <v>1989</v>
      </c>
      <c r="C55" t="s">
        <v>642</v>
      </c>
      <c r="D55" t="s">
        <v>3470</v>
      </c>
      <c r="E55" t="s">
        <v>3470</v>
      </c>
    </row>
    <row r="56" spans="1:5" ht="15" customHeight="1" x14ac:dyDescent="0.2">
      <c r="A56" s="27">
        <v>1993</v>
      </c>
      <c r="B56">
        <v>1993</v>
      </c>
      <c r="C56" t="s">
        <v>645</v>
      </c>
      <c r="D56" t="s">
        <v>3470</v>
      </c>
      <c r="E56" t="s">
        <v>3470</v>
      </c>
    </row>
    <row r="57" spans="1:5" ht="15" customHeight="1" x14ac:dyDescent="0.2">
      <c r="A57" s="27">
        <v>1994</v>
      </c>
      <c r="B57">
        <v>1994</v>
      </c>
      <c r="C57" t="s">
        <v>646</v>
      </c>
      <c r="D57" t="s">
        <v>3470</v>
      </c>
      <c r="E57" t="s">
        <v>3470</v>
      </c>
    </row>
    <row r="58" spans="1:5" ht="15" customHeight="1" x14ac:dyDescent="0.2">
      <c r="A58" s="27">
        <v>1995</v>
      </c>
      <c r="B58">
        <v>1995</v>
      </c>
      <c r="C58" t="s">
        <v>1898</v>
      </c>
      <c r="D58" t="s">
        <v>3470</v>
      </c>
      <c r="E58" t="s">
        <v>3470</v>
      </c>
    </row>
    <row r="59" spans="1:5" ht="15" customHeight="1" x14ac:dyDescent="0.2">
      <c r="A59" s="27">
        <v>4242</v>
      </c>
      <c r="B59">
        <v>4242</v>
      </c>
      <c r="C59" t="s">
        <v>528</v>
      </c>
      <c r="D59" t="s">
        <v>3470</v>
      </c>
      <c r="E59" t="s">
        <v>3470</v>
      </c>
    </row>
    <row r="60" spans="1:5" ht="15" customHeight="1" x14ac:dyDescent="0.2">
      <c r="A60" s="27">
        <v>4243</v>
      </c>
      <c r="B60">
        <v>4243</v>
      </c>
      <c r="C60" t="s">
        <v>529</v>
      </c>
      <c r="D60" t="s">
        <v>3470</v>
      </c>
      <c r="E60" t="s">
        <v>3470</v>
      </c>
    </row>
    <row r="61" spans="1:5" ht="15" customHeight="1" x14ac:dyDescent="0.2">
      <c r="A61" s="27">
        <v>4351</v>
      </c>
      <c r="B61">
        <v>4351</v>
      </c>
      <c r="C61" t="s">
        <v>530</v>
      </c>
      <c r="D61" t="s">
        <v>3470</v>
      </c>
      <c r="E61" t="s">
        <v>3470</v>
      </c>
    </row>
    <row r="62" spans="1:5" ht="15" customHeight="1" x14ac:dyDescent="0.2">
      <c r="A62" s="27">
        <v>5010</v>
      </c>
      <c r="B62">
        <v>5010</v>
      </c>
      <c r="C62" t="s">
        <v>533</v>
      </c>
      <c r="D62" t="s">
        <v>3470</v>
      </c>
      <c r="E62" t="s">
        <v>3470</v>
      </c>
    </row>
    <row r="63" spans="1:5" ht="15" customHeight="1" x14ac:dyDescent="0.2">
      <c r="A63" s="27">
        <v>5142</v>
      </c>
      <c r="B63">
        <v>5142</v>
      </c>
      <c r="C63" t="s">
        <v>554</v>
      </c>
      <c r="D63" t="s">
        <v>3470</v>
      </c>
      <c r="E63" t="s">
        <v>3470</v>
      </c>
    </row>
    <row r="64" spans="1:5" ht="15" customHeight="1" x14ac:dyDescent="0.2">
      <c r="A64" s="27">
        <v>5143</v>
      </c>
      <c r="B64">
        <v>5143</v>
      </c>
      <c r="C64" t="s">
        <v>555</v>
      </c>
      <c r="D64" t="s">
        <v>3470</v>
      </c>
      <c r="E64" t="s">
        <v>3470</v>
      </c>
    </row>
    <row r="65" spans="1:5" ht="15" customHeight="1" x14ac:dyDescent="0.2">
      <c r="A65" s="27">
        <v>5407</v>
      </c>
      <c r="B65">
        <v>5407</v>
      </c>
      <c r="C65" t="s">
        <v>566</v>
      </c>
      <c r="D65" t="s">
        <v>3470</v>
      </c>
      <c r="E65" t="s">
        <v>3470</v>
      </c>
    </row>
    <row r="66" spans="1:5" ht="15" customHeight="1" x14ac:dyDescent="0.2">
      <c r="A66" s="27">
        <v>5474</v>
      </c>
      <c r="B66">
        <v>5474</v>
      </c>
      <c r="C66" t="s">
        <v>569</v>
      </c>
      <c r="D66" t="s">
        <v>3470</v>
      </c>
      <c r="E66" t="s">
        <v>3470</v>
      </c>
    </row>
    <row r="67" spans="1:5" ht="15" customHeight="1" x14ac:dyDescent="0.2">
      <c r="A67" s="27">
        <v>5541</v>
      </c>
      <c r="B67">
        <v>5541</v>
      </c>
      <c r="C67" t="s">
        <v>469</v>
      </c>
      <c r="D67" t="s">
        <v>3470</v>
      </c>
      <c r="E67" t="s">
        <v>3470</v>
      </c>
    </row>
    <row r="68" spans="1:5" ht="15" customHeight="1" x14ac:dyDescent="0.2">
      <c r="A68" s="27">
        <v>5618</v>
      </c>
      <c r="B68">
        <v>5618</v>
      </c>
      <c r="C68" t="s">
        <v>2992</v>
      </c>
      <c r="D68" t="s">
        <v>3470</v>
      </c>
      <c r="E68" t="s">
        <v>3470</v>
      </c>
    </row>
    <row r="69" spans="1:5" ht="15" customHeight="1" x14ac:dyDescent="0.2">
      <c r="A69" s="40" t="s">
        <v>686</v>
      </c>
      <c r="B69" s="40" t="s">
        <v>687</v>
      </c>
      <c r="C69" t="s">
        <v>685</v>
      </c>
      <c r="D69" t="s">
        <v>3470</v>
      </c>
      <c r="E69" t="s">
        <v>3470</v>
      </c>
    </row>
    <row r="70" spans="1:5" ht="15" customHeight="1" x14ac:dyDescent="0.2">
      <c r="A70" s="40" t="s">
        <v>688</v>
      </c>
      <c r="B70" s="40" t="s">
        <v>688</v>
      </c>
      <c r="C70" t="s">
        <v>689</v>
      </c>
      <c r="D70" t="s">
        <v>3470</v>
      </c>
      <c r="E70" t="s">
        <v>3470</v>
      </c>
    </row>
    <row r="71" spans="1:5" ht="15" customHeight="1" x14ac:dyDescent="0.2">
      <c r="A71" s="40" t="s">
        <v>663</v>
      </c>
      <c r="B71" s="69" t="s">
        <v>663</v>
      </c>
      <c r="C71" t="s">
        <v>664</v>
      </c>
      <c r="D71" t="s">
        <v>3470</v>
      </c>
      <c r="E71" t="s">
        <v>3470</v>
      </c>
    </row>
    <row r="72" spans="1:5" ht="15" customHeight="1" x14ac:dyDescent="0.2">
      <c r="A72" s="40" t="s">
        <v>690</v>
      </c>
      <c r="B72" s="69" t="s">
        <v>691</v>
      </c>
      <c r="C72" t="s">
        <v>692</v>
      </c>
      <c r="D72" t="s">
        <v>3470</v>
      </c>
      <c r="E72" t="s">
        <v>3470</v>
      </c>
    </row>
    <row r="73" spans="1:5" ht="15" customHeight="1" x14ac:dyDescent="0.2">
      <c r="A73" s="27">
        <v>5636</v>
      </c>
      <c r="B73">
        <v>5636</v>
      </c>
      <c r="C73" t="s">
        <v>474</v>
      </c>
      <c r="D73" t="s">
        <v>3470</v>
      </c>
      <c r="E73" t="s">
        <v>3470</v>
      </c>
    </row>
    <row r="74" spans="1:5" ht="15" customHeight="1" x14ac:dyDescent="0.2">
      <c r="A74" s="27">
        <v>5701</v>
      </c>
      <c r="B74">
        <v>5701</v>
      </c>
      <c r="C74" t="s">
        <v>477</v>
      </c>
      <c r="D74" t="s">
        <v>3470</v>
      </c>
      <c r="E74" t="s">
        <v>3470</v>
      </c>
    </row>
    <row r="75" spans="1:5" ht="15" customHeight="1" x14ac:dyDescent="0.2">
      <c r="A75" s="27">
        <v>5728</v>
      </c>
      <c r="B75">
        <v>5728</v>
      </c>
      <c r="C75" t="s">
        <v>487</v>
      </c>
      <c r="D75" t="s">
        <v>3470</v>
      </c>
      <c r="E75" t="s">
        <v>3470</v>
      </c>
    </row>
    <row r="76" spans="1:5" ht="15" customHeight="1" x14ac:dyDescent="0.2">
      <c r="A76" s="27">
        <v>5729</v>
      </c>
      <c r="B76">
        <v>5729</v>
      </c>
      <c r="C76" t="s">
        <v>488</v>
      </c>
      <c r="D76" t="s">
        <v>3470</v>
      </c>
      <c r="E76" t="s">
        <v>3470</v>
      </c>
    </row>
    <row r="77" spans="1:5" ht="15" customHeight="1" x14ac:dyDescent="0.2">
      <c r="A77" s="27">
        <v>5753</v>
      </c>
      <c r="B77">
        <v>5753</v>
      </c>
      <c r="C77" t="s">
        <v>489</v>
      </c>
      <c r="D77" t="s">
        <v>3470</v>
      </c>
      <c r="E77" t="s">
        <v>3470</v>
      </c>
    </row>
    <row r="78" spans="1:5" ht="15" customHeight="1" x14ac:dyDescent="0.2">
      <c r="A78" s="27">
        <v>5817</v>
      </c>
      <c r="B78">
        <v>5817</v>
      </c>
      <c r="C78" t="s">
        <v>493</v>
      </c>
      <c r="D78" t="s">
        <v>3470</v>
      </c>
      <c r="E78" t="s">
        <v>3470</v>
      </c>
    </row>
    <row r="79" spans="1:5" ht="15" customHeight="1" x14ac:dyDescent="0.2">
      <c r="A79" s="27">
        <v>5818</v>
      </c>
      <c r="B79">
        <v>5818</v>
      </c>
      <c r="C79" t="s">
        <v>494</v>
      </c>
      <c r="D79" t="s">
        <v>3470</v>
      </c>
      <c r="E79" t="s">
        <v>3470</v>
      </c>
    </row>
    <row r="80" spans="1:5" ht="15" customHeight="1" x14ac:dyDescent="0.2">
      <c r="A80" s="27">
        <v>5842</v>
      </c>
      <c r="B80">
        <v>5842</v>
      </c>
      <c r="C80" t="s">
        <v>495</v>
      </c>
      <c r="D80" t="s">
        <v>3470</v>
      </c>
      <c r="E80" t="s">
        <v>3470</v>
      </c>
    </row>
    <row r="81" spans="1:5" ht="15" customHeight="1" x14ac:dyDescent="0.2">
      <c r="A81" s="27">
        <v>5846</v>
      </c>
      <c r="B81">
        <v>5846</v>
      </c>
      <c r="C81" t="s">
        <v>496</v>
      </c>
      <c r="D81" t="s">
        <v>3470</v>
      </c>
      <c r="E81" t="s">
        <v>3470</v>
      </c>
    </row>
    <row r="82" spans="1:5" ht="15" customHeight="1" x14ac:dyDescent="0.2">
      <c r="A82" s="27">
        <v>5882</v>
      </c>
      <c r="B82">
        <v>5882</v>
      </c>
      <c r="C82" t="s">
        <v>501</v>
      </c>
      <c r="D82" t="s">
        <v>3470</v>
      </c>
      <c r="E82" t="s">
        <v>3470</v>
      </c>
    </row>
    <row r="83" spans="1:5" ht="15" customHeight="1" x14ac:dyDescent="0.2">
      <c r="A83" s="27">
        <v>5883</v>
      </c>
      <c r="B83">
        <v>5883</v>
      </c>
      <c r="C83" t="s">
        <v>503</v>
      </c>
      <c r="D83" t="s">
        <v>3470</v>
      </c>
      <c r="E83" t="s">
        <v>3470</v>
      </c>
    </row>
    <row r="84" spans="1:5" ht="15" customHeight="1" x14ac:dyDescent="0.2">
      <c r="A84" s="27">
        <v>5913</v>
      </c>
      <c r="B84">
        <v>5913</v>
      </c>
      <c r="C84" t="s">
        <v>514</v>
      </c>
      <c r="D84" t="s">
        <v>3470</v>
      </c>
      <c r="E84" t="s">
        <v>3470</v>
      </c>
    </row>
    <row r="85" spans="1:5" ht="15" customHeight="1" x14ac:dyDescent="0.2">
      <c r="A85" s="27">
        <v>5928</v>
      </c>
      <c r="B85">
        <v>5928</v>
      </c>
      <c r="C85" t="s">
        <v>517</v>
      </c>
      <c r="D85" t="s">
        <v>3470</v>
      </c>
      <c r="E85" t="s">
        <v>3470</v>
      </c>
    </row>
    <row r="86" spans="1:5" ht="15" customHeight="1" x14ac:dyDescent="0.2">
      <c r="A86" s="27">
        <v>7012</v>
      </c>
      <c r="B86">
        <v>7012</v>
      </c>
      <c r="C86" t="s">
        <v>523</v>
      </c>
      <c r="D86" t="s">
        <v>3470</v>
      </c>
      <c r="E86" t="s">
        <v>3470</v>
      </c>
    </row>
    <row r="87" spans="1:5" ht="15" customHeight="1" x14ac:dyDescent="0.2">
      <c r="A87" s="27">
        <v>7020</v>
      </c>
      <c r="B87">
        <v>7020</v>
      </c>
      <c r="C87" t="s">
        <v>525</v>
      </c>
      <c r="D87" t="s">
        <v>3470</v>
      </c>
      <c r="E87" t="s">
        <v>3470</v>
      </c>
    </row>
    <row r="88" spans="1:5" ht="15" customHeight="1" x14ac:dyDescent="0.2">
      <c r="A88" s="27">
        <v>7022</v>
      </c>
      <c r="B88">
        <v>7022</v>
      </c>
      <c r="C88" t="s">
        <v>526</v>
      </c>
      <c r="D88" t="s">
        <v>3470</v>
      </c>
      <c r="E88" t="s">
        <v>3470</v>
      </c>
    </row>
    <row r="89" spans="1:5" ht="15" customHeight="1" x14ac:dyDescent="0.2">
      <c r="A89" s="40" t="s">
        <v>675</v>
      </c>
      <c r="B89" s="40" t="s">
        <v>675</v>
      </c>
      <c r="C89" t="s">
        <v>676</v>
      </c>
      <c r="D89" t="s">
        <v>3470</v>
      </c>
      <c r="E89" t="s">
        <v>3470</v>
      </c>
    </row>
    <row r="90" spans="1:5" ht="15" customHeight="1" x14ac:dyDescent="0.2">
      <c r="A90" s="72">
        <v>7042</v>
      </c>
      <c r="B90" s="72">
        <v>7042</v>
      </c>
      <c r="C90" t="s">
        <v>449</v>
      </c>
      <c r="D90" t="s">
        <v>3470</v>
      </c>
      <c r="E90" t="s">
        <v>3470</v>
      </c>
    </row>
    <row r="91" spans="1:5" ht="15" customHeight="1" x14ac:dyDescent="0.2">
      <c r="A91" s="27">
        <v>7054</v>
      </c>
      <c r="B91">
        <v>7054</v>
      </c>
      <c r="C91" t="s">
        <v>450</v>
      </c>
      <c r="D91" t="s">
        <v>3470</v>
      </c>
      <c r="E91" t="s">
        <v>3470</v>
      </c>
    </row>
    <row r="92" spans="1:5" ht="15" customHeight="1" x14ac:dyDescent="0.2">
      <c r="A92" s="27">
        <v>7071</v>
      </c>
      <c r="B92">
        <v>7071</v>
      </c>
      <c r="C92" t="s">
        <v>454</v>
      </c>
      <c r="D92" t="s">
        <v>3470</v>
      </c>
      <c r="E92" t="s">
        <v>3470</v>
      </c>
    </row>
    <row r="93" spans="1:5" ht="15" customHeight="1" x14ac:dyDescent="0.2">
      <c r="A93" s="40" t="s">
        <v>1583</v>
      </c>
      <c r="B93" s="53" t="s">
        <v>1583</v>
      </c>
      <c r="C93" t="s">
        <v>634</v>
      </c>
      <c r="D93" t="s">
        <v>3470</v>
      </c>
      <c r="E93" t="s">
        <v>3470</v>
      </c>
    </row>
    <row r="94" spans="1:5" ht="15" customHeight="1" x14ac:dyDescent="0.2">
      <c r="A94" s="38" t="s">
        <v>613</v>
      </c>
      <c r="B94" s="39" t="s">
        <v>613</v>
      </c>
      <c r="C94" t="s">
        <v>635</v>
      </c>
      <c r="D94" t="s">
        <v>3470</v>
      </c>
      <c r="E94" t="s">
        <v>3470</v>
      </c>
    </row>
    <row r="95" spans="1:5" ht="15" customHeight="1" x14ac:dyDescent="0.2">
      <c r="A95" s="40" t="s">
        <v>1584</v>
      </c>
      <c r="B95" s="53" t="s">
        <v>1585</v>
      </c>
      <c r="C95" t="s">
        <v>639</v>
      </c>
      <c r="D95" t="s">
        <v>3470</v>
      </c>
      <c r="E95" t="s">
        <v>3470</v>
      </c>
    </row>
    <row r="96" spans="1:5" ht="15" customHeight="1" x14ac:dyDescent="0.2">
      <c r="A96" s="40" t="s">
        <v>1586</v>
      </c>
      <c r="B96" s="53" t="s">
        <v>1586</v>
      </c>
      <c r="C96" t="s">
        <v>640</v>
      </c>
      <c r="D96" t="s">
        <v>3470</v>
      </c>
      <c r="E96" t="s">
        <v>3470</v>
      </c>
    </row>
    <row r="97" spans="1:5" ht="15" customHeight="1" x14ac:dyDescent="0.2">
      <c r="A97" s="40" t="s">
        <v>1587</v>
      </c>
      <c r="B97" s="53" t="s">
        <v>1587</v>
      </c>
      <c r="C97" t="s">
        <v>643</v>
      </c>
      <c r="D97" t="s">
        <v>3470</v>
      </c>
      <c r="E97" t="s">
        <v>3470</v>
      </c>
    </row>
    <row r="98" spans="1:5" ht="15" customHeight="1" x14ac:dyDescent="0.2">
      <c r="A98" s="40" t="s">
        <v>1588</v>
      </c>
      <c r="B98" s="53" t="s">
        <v>1588</v>
      </c>
      <c r="C98" t="s">
        <v>644</v>
      </c>
      <c r="D98" t="s">
        <v>3470</v>
      </c>
      <c r="E98" t="s">
        <v>3470</v>
      </c>
    </row>
    <row r="99" spans="1:5" ht="15" customHeight="1" x14ac:dyDescent="0.2">
      <c r="A99" s="40" t="s">
        <v>1589</v>
      </c>
      <c r="B99" s="53" t="s">
        <v>1589</v>
      </c>
      <c r="C99" t="s">
        <v>1899</v>
      </c>
      <c r="D99" t="s">
        <v>3470</v>
      </c>
      <c r="E99" t="s">
        <v>3470</v>
      </c>
    </row>
    <row r="100" spans="1:5" ht="15" customHeight="1" x14ac:dyDescent="0.2">
      <c r="A100" s="40" t="s">
        <v>1590</v>
      </c>
      <c r="B100" s="53" t="s">
        <v>1590</v>
      </c>
      <c r="C100" t="s">
        <v>1900</v>
      </c>
      <c r="D100" t="s">
        <v>3470</v>
      </c>
      <c r="E100" t="s">
        <v>3470</v>
      </c>
    </row>
    <row r="101" spans="1:5" ht="15" customHeight="1" x14ac:dyDescent="0.2">
      <c r="A101" s="40" t="s">
        <v>1591</v>
      </c>
      <c r="B101" s="53" t="s">
        <v>1591</v>
      </c>
      <c r="C101" t="s">
        <v>531</v>
      </c>
      <c r="D101" t="s">
        <v>3470</v>
      </c>
      <c r="E101" t="s">
        <v>3470</v>
      </c>
    </row>
    <row r="102" spans="1:5" ht="15" customHeight="1" x14ac:dyDescent="0.2">
      <c r="A102" s="40" t="s">
        <v>1592</v>
      </c>
      <c r="B102" s="53" t="s">
        <v>1592</v>
      </c>
      <c r="C102" t="s">
        <v>532</v>
      </c>
      <c r="D102" t="s">
        <v>3470</v>
      </c>
      <c r="E102" t="s">
        <v>3470</v>
      </c>
    </row>
    <row r="103" spans="1:5" ht="15" customHeight="1" x14ac:dyDescent="0.2">
      <c r="A103" s="40" t="s">
        <v>1593</v>
      </c>
      <c r="B103" s="53" t="s">
        <v>1593</v>
      </c>
      <c r="C103" t="s">
        <v>534</v>
      </c>
      <c r="D103" t="s">
        <v>3470</v>
      </c>
      <c r="E103" t="s">
        <v>3470</v>
      </c>
    </row>
    <row r="104" spans="1:5" ht="15" customHeight="1" x14ac:dyDescent="0.2">
      <c r="A104" s="40" t="s">
        <v>118</v>
      </c>
      <c r="B104" s="53" t="s">
        <v>118</v>
      </c>
      <c r="C104" t="s">
        <v>119</v>
      </c>
      <c r="D104" t="s">
        <v>3470</v>
      </c>
      <c r="E104" t="s">
        <v>3470</v>
      </c>
    </row>
    <row r="105" spans="1:5" ht="15" customHeight="1" x14ac:dyDescent="0.2">
      <c r="A105" s="40" t="s">
        <v>1594</v>
      </c>
      <c r="B105" s="53" t="s">
        <v>1595</v>
      </c>
      <c r="C105" t="s">
        <v>535</v>
      </c>
      <c r="D105" t="s">
        <v>3470</v>
      </c>
      <c r="E105" t="s">
        <v>3470</v>
      </c>
    </row>
    <row r="106" spans="1:5" ht="15" customHeight="1" x14ac:dyDescent="0.2">
      <c r="A106" s="40" t="s">
        <v>1596</v>
      </c>
      <c r="B106" s="53" t="s">
        <v>1597</v>
      </c>
      <c r="C106" t="s">
        <v>536</v>
      </c>
      <c r="D106" t="s">
        <v>3470</v>
      </c>
      <c r="E106" t="s">
        <v>3470</v>
      </c>
    </row>
    <row r="107" spans="1:5" ht="15" customHeight="1" x14ac:dyDescent="0.2">
      <c r="A107" s="40" t="s">
        <v>1598</v>
      </c>
      <c r="B107" s="53" t="s">
        <v>1599</v>
      </c>
      <c r="C107" t="s">
        <v>537</v>
      </c>
      <c r="D107" t="s">
        <v>3470</v>
      </c>
      <c r="E107" t="s">
        <v>3470</v>
      </c>
    </row>
    <row r="108" spans="1:5" ht="15" customHeight="1" x14ac:dyDescent="0.2">
      <c r="A108" s="40" t="s">
        <v>1600</v>
      </c>
      <c r="B108" s="53" t="s">
        <v>1601</v>
      </c>
      <c r="C108" t="s">
        <v>538</v>
      </c>
      <c r="D108" t="s">
        <v>3470</v>
      </c>
      <c r="E108" t="s">
        <v>3470</v>
      </c>
    </row>
    <row r="109" spans="1:5" ht="15" customHeight="1" x14ac:dyDescent="0.2">
      <c r="A109" s="40" t="s">
        <v>1602</v>
      </c>
      <c r="B109" s="53" t="s">
        <v>1603</v>
      </c>
      <c r="C109" t="s">
        <v>539</v>
      </c>
      <c r="D109" t="s">
        <v>3470</v>
      </c>
      <c r="E109" t="s">
        <v>3470</v>
      </c>
    </row>
    <row r="110" spans="1:5" ht="15" customHeight="1" x14ac:dyDescent="0.2">
      <c r="A110" s="40" t="s">
        <v>1604</v>
      </c>
      <c r="B110" s="53" t="s">
        <v>1605</v>
      </c>
      <c r="C110" t="s">
        <v>540</v>
      </c>
      <c r="D110" t="s">
        <v>3470</v>
      </c>
      <c r="E110" t="s">
        <v>3470</v>
      </c>
    </row>
    <row r="111" spans="1:5" ht="15" customHeight="1" x14ac:dyDescent="0.2">
      <c r="A111" s="40" t="s">
        <v>1606</v>
      </c>
      <c r="B111" s="53" t="s">
        <v>1606</v>
      </c>
      <c r="C111" t="s">
        <v>541</v>
      </c>
      <c r="D111" t="s">
        <v>3470</v>
      </c>
      <c r="E111" t="s">
        <v>3470</v>
      </c>
    </row>
    <row r="112" spans="1:5" ht="15" customHeight="1" x14ac:dyDescent="0.2">
      <c r="A112" s="40" t="s">
        <v>1607</v>
      </c>
      <c r="B112" s="53" t="s">
        <v>1607</v>
      </c>
      <c r="C112" t="s">
        <v>542</v>
      </c>
      <c r="D112" t="s">
        <v>3470</v>
      </c>
      <c r="E112" t="s">
        <v>3470</v>
      </c>
    </row>
    <row r="113" spans="1:5" ht="15" customHeight="1" x14ac:dyDescent="0.2">
      <c r="A113" s="40" t="s">
        <v>1608</v>
      </c>
      <c r="B113" s="53" t="s">
        <v>1608</v>
      </c>
      <c r="C113" t="s">
        <v>543</v>
      </c>
      <c r="D113" t="s">
        <v>3470</v>
      </c>
      <c r="E113" t="s">
        <v>3470</v>
      </c>
    </row>
    <row r="114" spans="1:5" ht="15" customHeight="1" x14ac:dyDescent="0.2">
      <c r="A114" s="40" t="s">
        <v>1609</v>
      </c>
      <c r="B114" s="53" t="s">
        <v>1609</v>
      </c>
      <c r="C114" t="s">
        <v>544</v>
      </c>
      <c r="D114" t="s">
        <v>3470</v>
      </c>
      <c r="E114" t="s">
        <v>3470</v>
      </c>
    </row>
    <row r="115" spans="1:5" ht="15" customHeight="1" x14ac:dyDescent="0.2">
      <c r="A115" s="40" t="s">
        <v>1610</v>
      </c>
      <c r="B115" s="53" t="s">
        <v>1610</v>
      </c>
      <c r="C115" t="s">
        <v>545</v>
      </c>
      <c r="D115" t="s">
        <v>3470</v>
      </c>
      <c r="E115" t="s">
        <v>3470</v>
      </c>
    </row>
    <row r="116" spans="1:5" ht="15" customHeight="1" x14ac:dyDescent="0.2">
      <c r="A116" s="40" t="s">
        <v>1611</v>
      </c>
      <c r="B116" s="53" t="s">
        <v>1611</v>
      </c>
      <c r="C116" t="s">
        <v>546</v>
      </c>
      <c r="D116" t="s">
        <v>3470</v>
      </c>
      <c r="E116" t="s">
        <v>3470</v>
      </c>
    </row>
    <row r="117" spans="1:5" ht="15" customHeight="1" x14ac:dyDescent="0.2">
      <c r="A117" s="40" t="s">
        <v>1612</v>
      </c>
      <c r="B117" s="53" t="s">
        <v>1612</v>
      </c>
      <c r="C117" t="s">
        <v>547</v>
      </c>
      <c r="D117" t="s">
        <v>3470</v>
      </c>
      <c r="E117" t="s">
        <v>3470</v>
      </c>
    </row>
    <row r="118" spans="1:5" ht="15" customHeight="1" x14ac:dyDescent="0.2">
      <c r="A118" s="40" t="s">
        <v>1613</v>
      </c>
      <c r="B118" s="53" t="s">
        <v>1613</v>
      </c>
      <c r="C118" t="s">
        <v>548</v>
      </c>
      <c r="D118" t="s">
        <v>3470</v>
      </c>
      <c r="E118" t="s">
        <v>3470</v>
      </c>
    </row>
    <row r="119" spans="1:5" ht="15" customHeight="1" x14ac:dyDescent="0.2">
      <c r="A119" s="40" t="s">
        <v>1614</v>
      </c>
      <c r="B119" s="53" t="s">
        <v>1614</v>
      </c>
      <c r="C119" t="s">
        <v>549</v>
      </c>
      <c r="D119" t="s">
        <v>3470</v>
      </c>
      <c r="E119" t="s">
        <v>3470</v>
      </c>
    </row>
    <row r="120" spans="1:5" ht="15" customHeight="1" x14ac:dyDescent="0.2">
      <c r="A120" s="40" t="s">
        <v>1615</v>
      </c>
      <c r="B120" s="53" t="s">
        <v>1615</v>
      </c>
      <c r="C120" t="s">
        <v>550</v>
      </c>
      <c r="D120" t="s">
        <v>3470</v>
      </c>
      <c r="E120" t="s">
        <v>3470</v>
      </c>
    </row>
    <row r="121" spans="1:5" ht="15" customHeight="1" x14ac:dyDescent="0.2">
      <c r="A121" s="40" t="s">
        <v>1616</v>
      </c>
      <c r="B121" s="53" t="s">
        <v>1616</v>
      </c>
      <c r="C121" t="s">
        <v>551</v>
      </c>
      <c r="D121" t="s">
        <v>3470</v>
      </c>
      <c r="E121" t="s">
        <v>3470</v>
      </c>
    </row>
    <row r="122" spans="1:5" ht="15" customHeight="1" x14ac:dyDescent="0.2">
      <c r="A122" s="40" t="s">
        <v>1617</v>
      </c>
      <c r="B122" s="53" t="s">
        <v>1617</v>
      </c>
      <c r="C122" t="s">
        <v>552</v>
      </c>
      <c r="D122" t="s">
        <v>3470</v>
      </c>
      <c r="E122" t="s">
        <v>3470</v>
      </c>
    </row>
    <row r="123" spans="1:5" ht="15" customHeight="1" x14ac:dyDescent="0.2">
      <c r="A123" s="40" t="s">
        <v>1618</v>
      </c>
      <c r="B123" s="53" t="s">
        <v>1618</v>
      </c>
      <c r="C123" t="s">
        <v>553</v>
      </c>
      <c r="D123" t="s">
        <v>3470</v>
      </c>
      <c r="E123" t="s">
        <v>3470</v>
      </c>
    </row>
    <row r="124" spans="1:5" ht="15" customHeight="1" x14ac:dyDescent="0.2">
      <c r="A124" s="40" t="s">
        <v>1619</v>
      </c>
      <c r="B124" s="53" t="s">
        <v>1619</v>
      </c>
      <c r="C124" t="s">
        <v>556</v>
      </c>
      <c r="D124" t="s">
        <v>3470</v>
      </c>
      <c r="E124" t="s">
        <v>3470</v>
      </c>
    </row>
    <row r="125" spans="1:5" ht="15" customHeight="1" x14ac:dyDescent="0.2">
      <c r="A125" s="40" t="s">
        <v>1620</v>
      </c>
      <c r="B125" s="53" t="s">
        <v>1620</v>
      </c>
      <c r="C125" t="s">
        <v>557</v>
      </c>
      <c r="D125" t="s">
        <v>3470</v>
      </c>
      <c r="E125" t="s">
        <v>3470</v>
      </c>
    </row>
    <row r="126" spans="1:5" ht="15" customHeight="1" x14ac:dyDescent="0.2">
      <c r="A126" s="40" t="s">
        <v>1621</v>
      </c>
      <c r="B126" s="53" t="s">
        <v>1621</v>
      </c>
      <c r="C126" t="s">
        <v>558</v>
      </c>
      <c r="D126" t="s">
        <v>3470</v>
      </c>
      <c r="E126" t="s">
        <v>3470</v>
      </c>
    </row>
    <row r="127" spans="1:5" ht="15" customHeight="1" x14ac:dyDescent="0.2">
      <c r="A127" s="40" t="s">
        <v>1622</v>
      </c>
      <c r="B127" s="53" t="s">
        <v>1622</v>
      </c>
      <c r="C127" t="s">
        <v>559</v>
      </c>
      <c r="D127" t="s">
        <v>3470</v>
      </c>
      <c r="E127" t="s">
        <v>3470</v>
      </c>
    </row>
    <row r="128" spans="1:5" ht="15" customHeight="1" x14ac:dyDescent="0.2">
      <c r="A128" s="40" t="s">
        <v>1623</v>
      </c>
      <c r="B128" s="53" t="s">
        <v>1623</v>
      </c>
      <c r="C128" t="s">
        <v>560</v>
      </c>
      <c r="D128" t="s">
        <v>3470</v>
      </c>
      <c r="E128" t="s">
        <v>3470</v>
      </c>
    </row>
    <row r="129" spans="1:5" ht="15" customHeight="1" x14ac:dyDescent="0.2">
      <c r="A129" s="40" t="s">
        <v>1624</v>
      </c>
      <c r="B129" s="53" t="s">
        <v>1624</v>
      </c>
      <c r="C129" t="s">
        <v>561</v>
      </c>
      <c r="D129" t="s">
        <v>3470</v>
      </c>
      <c r="E129" t="s">
        <v>3470</v>
      </c>
    </row>
    <row r="130" spans="1:5" ht="15" customHeight="1" x14ac:dyDescent="0.2">
      <c r="A130" s="53" t="s">
        <v>116</v>
      </c>
      <c r="B130" s="53" t="s">
        <v>116</v>
      </c>
      <c r="C130" t="s">
        <v>117</v>
      </c>
      <c r="D130" t="s">
        <v>3470</v>
      </c>
      <c r="E130" t="s">
        <v>3470</v>
      </c>
    </row>
    <row r="131" spans="1:5" ht="15" customHeight="1" x14ac:dyDescent="0.2">
      <c r="A131" s="40" t="s">
        <v>1625</v>
      </c>
      <c r="B131" s="53" t="s">
        <v>1625</v>
      </c>
      <c r="C131" t="s">
        <v>562</v>
      </c>
      <c r="D131" t="s">
        <v>3470</v>
      </c>
      <c r="E131" t="s">
        <v>3470</v>
      </c>
    </row>
    <row r="132" spans="1:5" ht="15" customHeight="1" x14ac:dyDescent="0.2">
      <c r="A132" s="40" t="s">
        <v>1626</v>
      </c>
      <c r="B132" s="53" t="s">
        <v>1626</v>
      </c>
      <c r="C132" t="s">
        <v>563</v>
      </c>
      <c r="D132" t="s">
        <v>3470</v>
      </c>
      <c r="E132" t="s">
        <v>3470</v>
      </c>
    </row>
    <row r="133" spans="1:5" ht="15" customHeight="1" x14ac:dyDescent="0.2">
      <c r="A133" s="40" t="s">
        <v>1627</v>
      </c>
      <c r="B133" s="53" t="s">
        <v>1627</v>
      </c>
      <c r="C133" t="s">
        <v>564</v>
      </c>
      <c r="D133" t="s">
        <v>3470</v>
      </c>
      <c r="E133" t="s">
        <v>3470</v>
      </c>
    </row>
    <row r="134" spans="1:5" ht="15" customHeight="1" x14ac:dyDescent="0.2">
      <c r="A134" s="40" t="s">
        <v>1628</v>
      </c>
      <c r="B134" s="53" t="s">
        <v>1628</v>
      </c>
      <c r="C134" t="s">
        <v>565</v>
      </c>
      <c r="D134" t="s">
        <v>3470</v>
      </c>
      <c r="E134" t="s">
        <v>3470</v>
      </c>
    </row>
    <row r="135" spans="1:5" ht="15" customHeight="1" x14ac:dyDescent="0.2">
      <c r="A135" s="40" t="s">
        <v>1629</v>
      </c>
      <c r="B135" s="53" t="s">
        <v>1629</v>
      </c>
      <c r="C135" t="s">
        <v>567</v>
      </c>
      <c r="D135" t="s">
        <v>3470</v>
      </c>
      <c r="E135" t="s">
        <v>3470</v>
      </c>
    </row>
    <row r="136" spans="1:5" ht="15" customHeight="1" x14ac:dyDescent="0.2">
      <c r="A136" s="40" t="s">
        <v>1630</v>
      </c>
      <c r="B136" s="53" t="s">
        <v>1630</v>
      </c>
      <c r="C136" t="s">
        <v>568</v>
      </c>
      <c r="D136" t="s">
        <v>3470</v>
      </c>
      <c r="E136" t="s">
        <v>3470</v>
      </c>
    </row>
    <row r="137" spans="1:5" ht="15" customHeight="1" x14ac:dyDescent="0.2">
      <c r="A137" s="40" t="s">
        <v>1631</v>
      </c>
      <c r="B137" s="53" t="s">
        <v>1631</v>
      </c>
      <c r="C137" t="s">
        <v>570</v>
      </c>
      <c r="D137" t="s">
        <v>3470</v>
      </c>
      <c r="E137" t="s">
        <v>3470</v>
      </c>
    </row>
    <row r="138" spans="1:5" ht="15" customHeight="1" x14ac:dyDescent="0.2">
      <c r="A138" s="40" t="s">
        <v>1632</v>
      </c>
      <c r="B138" s="53" t="s">
        <v>1632</v>
      </c>
      <c r="C138" t="s">
        <v>571</v>
      </c>
      <c r="D138" t="s">
        <v>3470</v>
      </c>
      <c r="E138" t="s">
        <v>3470</v>
      </c>
    </row>
    <row r="139" spans="1:5" ht="15" customHeight="1" x14ac:dyDescent="0.2">
      <c r="A139" s="40" t="s">
        <v>1633</v>
      </c>
      <c r="B139" s="53" t="s">
        <v>1633</v>
      </c>
      <c r="C139" t="s">
        <v>572</v>
      </c>
      <c r="D139" t="s">
        <v>3470</v>
      </c>
      <c r="E139" t="s">
        <v>3470</v>
      </c>
    </row>
    <row r="140" spans="1:5" ht="15" customHeight="1" x14ac:dyDescent="0.2">
      <c r="A140" s="40" t="s">
        <v>1634</v>
      </c>
      <c r="B140" s="53" t="s">
        <v>1634</v>
      </c>
      <c r="C140" t="s">
        <v>573</v>
      </c>
      <c r="D140" t="s">
        <v>3470</v>
      </c>
      <c r="E140" t="s">
        <v>3470</v>
      </c>
    </row>
    <row r="141" spans="1:5" ht="15" customHeight="1" x14ac:dyDescent="0.2">
      <c r="A141" s="40" t="s">
        <v>1635</v>
      </c>
      <c r="B141" s="53" t="s">
        <v>1635</v>
      </c>
      <c r="C141" t="s">
        <v>574</v>
      </c>
      <c r="D141" t="s">
        <v>3470</v>
      </c>
      <c r="E141" t="s">
        <v>3470</v>
      </c>
    </row>
    <row r="142" spans="1:5" ht="15" customHeight="1" x14ac:dyDescent="0.2">
      <c r="A142" s="40" t="s">
        <v>1636</v>
      </c>
      <c r="B142" s="53" t="s">
        <v>1636</v>
      </c>
      <c r="C142" t="s">
        <v>575</v>
      </c>
      <c r="D142" t="s">
        <v>3470</v>
      </c>
      <c r="E142" t="s">
        <v>3470</v>
      </c>
    </row>
    <row r="143" spans="1:5" ht="15" customHeight="1" x14ac:dyDescent="0.2">
      <c r="A143" s="40" t="s">
        <v>1637</v>
      </c>
      <c r="B143" s="53" t="s">
        <v>1637</v>
      </c>
      <c r="C143" t="s">
        <v>576</v>
      </c>
      <c r="D143" t="s">
        <v>3470</v>
      </c>
      <c r="E143" t="s">
        <v>3470</v>
      </c>
    </row>
    <row r="144" spans="1:5" ht="15" customHeight="1" x14ac:dyDescent="0.2">
      <c r="A144" s="40" t="s">
        <v>1638</v>
      </c>
      <c r="B144" s="53" t="s">
        <v>1638</v>
      </c>
      <c r="C144" t="s">
        <v>577</v>
      </c>
      <c r="D144" t="s">
        <v>3470</v>
      </c>
      <c r="E144" t="s">
        <v>3470</v>
      </c>
    </row>
    <row r="145" spans="1:5" ht="15" customHeight="1" x14ac:dyDescent="0.2">
      <c r="A145" s="40" t="s">
        <v>1639</v>
      </c>
      <c r="B145" s="53" t="s">
        <v>1639</v>
      </c>
      <c r="C145" t="s">
        <v>578</v>
      </c>
      <c r="D145" t="s">
        <v>3470</v>
      </c>
      <c r="E145" t="s">
        <v>3470</v>
      </c>
    </row>
    <row r="146" spans="1:5" ht="15" customHeight="1" x14ac:dyDescent="0.2">
      <c r="A146" s="40" t="s">
        <v>1640</v>
      </c>
      <c r="B146" s="53" t="s">
        <v>1640</v>
      </c>
      <c r="C146" t="s">
        <v>579</v>
      </c>
      <c r="D146" t="s">
        <v>3470</v>
      </c>
      <c r="E146" t="s">
        <v>3470</v>
      </c>
    </row>
    <row r="147" spans="1:5" ht="15" customHeight="1" x14ac:dyDescent="0.2">
      <c r="A147" s="40" t="s">
        <v>1641</v>
      </c>
      <c r="B147" s="53" t="s">
        <v>1641</v>
      </c>
      <c r="C147" t="s">
        <v>580</v>
      </c>
      <c r="D147" t="s">
        <v>3470</v>
      </c>
      <c r="E147" t="s">
        <v>3470</v>
      </c>
    </row>
    <row r="148" spans="1:5" ht="15" customHeight="1" x14ac:dyDescent="0.2">
      <c r="A148" s="40" t="s">
        <v>1642</v>
      </c>
      <c r="B148" s="53" t="s">
        <v>1642</v>
      </c>
      <c r="C148" t="s">
        <v>581</v>
      </c>
      <c r="D148" t="s">
        <v>3470</v>
      </c>
      <c r="E148" t="s">
        <v>3470</v>
      </c>
    </row>
    <row r="149" spans="1:5" ht="15" customHeight="1" x14ac:dyDescent="0.2">
      <c r="A149" s="40" t="s">
        <v>1643</v>
      </c>
      <c r="B149" s="53" t="s">
        <v>1643</v>
      </c>
      <c r="C149" t="s">
        <v>582</v>
      </c>
      <c r="D149" t="s">
        <v>3470</v>
      </c>
      <c r="E149" t="s">
        <v>3470</v>
      </c>
    </row>
    <row r="150" spans="1:5" ht="15" customHeight="1" x14ac:dyDescent="0.2">
      <c r="A150" s="40" t="s">
        <v>1644</v>
      </c>
      <c r="B150" s="53" t="s">
        <v>1644</v>
      </c>
      <c r="C150" t="s">
        <v>583</v>
      </c>
      <c r="D150" t="s">
        <v>3470</v>
      </c>
      <c r="E150" t="s">
        <v>3470</v>
      </c>
    </row>
    <row r="151" spans="1:5" ht="15" customHeight="1" x14ac:dyDescent="0.2">
      <c r="A151" s="40" t="s">
        <v>1645</v>
      </c>
      <c r="B151" s="53" t="s">
        <v>1645</v>
      </c>
      <c r="C151" t="s">
        <v>584</v>
      </c>
      <c r="D151" t="s">
        <v>3470</v>
      </c>
      <c r="E151" t="s">
        <v>3470</v>
      </c>
    </row>
    <row r="152" spans="1:5" ht="15" customHeight="1" x14ac:dyDescent="0.2">
      <c r="A152" s="40" t="s">
        <v>1646</v>
      </c>
      <c r="B152" s="53" t="s">
        <v>1646</v>
      </c>
      <c r="C152" t="s">
        <v>585</v>
      </c>
      <c r="D152" t="s">
        <v>3470</v>
      </c>
      <c r="E152" t="s">
        <v>3470</v>
      </c>
    </row>
    <row r="153" spans="1:5" ht="15" customHeight="1" x14ac:dyDescent="0.2">
      <c r="A153" s="40" t="s">
        <v>1647</v>
      </c>
      <c r="B153" s="53" t="s">
        <v>1647</v>
      </c>
      <c r="C153" t="s">
        <v>586</v>
      </c>
      <c r="D153" t="s">
        <v>3470</v>
      </c>
      <c r="E153" t="s">
        <v>3470</v>
      </c>
    </row>
    <row r="154" spans="1:5" ht="15" customHeight="1" x14ac:dyDescent="0.2">
      <c r="A154" s="40" t="s">
        <v>1648</v>
      </c>
      <c r="B154" s="53" t="s">
        <v>1648</v>
      </c>
      <c r="C154" t="s">
        <v>587</v>
      </c>
      <c r="D154" t="s">
        <v>3470</v>
      </c>
      <c r="E154" t="s">
        <v>3470</v>
      </c>
    </row>
    <row r="155" spans="1:5" ht="15" customHeight="1" x14ac:dyDescent="0.2">
      <c r="A155" s="40" t="s">
        <v>1649</v>
      </c>
      <c r="B155" s="53" t="s">
        <v>1649</v>
      </c>
      <c r="C155" t="s">
        <v>461</v>
      </c>
      <c r="D155" t="s">
        <v>3470</v>
      </c>
      <c r="E155" t="s">
        <v>3470</v>
      </c>
    </row>
    <row r="156" spans="1:5" ht="15" customHeight="1" x14ac:dyDescent="0.2">
      <c r="A156" s="40" t="s">
        <v>1650</v>
      </c>
      <c r="B156" s="53" t="s">
        <v>1650</v>
      </c>
      <c r="C156" t="s">
        <v>462</v>
      </c>
      <c r="D156" t="s">
        <v>3470</v>
      </c>
      <c r="E156" t="s">
        <v>3470</v>
      </c>
    </row>
    <row r="157" spans="1:5" ht="15" customHeight="1" x14ac:dyDescent="0.2">
      <c r="A157" s="40" t="s">
        <v>1651</v>
      </c>
      <c r="B157" s="53" t="s">
        <v>1651</v>
      </c>
      <c r="C157" t="s">
        <v>463</v>
      </c>
      <c r="D157" t="s">
        <v>3470</v>
      </c>
      <c r="E157" t="s">
        <v>3470</v>
      </c>
    </row>
    <row r="158" spans="1:5" ht="15" customHeight="1" x14ac:dyDescent="0.2">
      <c r="A158" s="40" t="s">
        <v>1652</v>
      </c>
      <c r="B158" s="53" t="s">
        <v>1652</v>
      </c>
      <c r="C158" t="s">
        <v>464</v>
      </c>
      <c r="D158" t="s">
        <v>3470</v>
      </c>
      <c r="E158" t="s">
        <v>3470</v>
      </c>
    </row>
    <row r="159" spans="1:5" ht="15" customHeight="1" x14ac:dyDescent="0.2">
      <c r="A159" s="40" t="s">
        <v>1653</v>
      </c>
      <c r="B159" s="53" t="s">
        <v>1653</v>
      </c>
      <c r="C159" t="s">
        <v>465</v>
      </c>
      <c r="D159" t="s">
        <v>3470</v>
      </c>
      <c r="E159" t="s">
        <v>3470</v>
      </c>
    </row>
    <row r="160" spans="1:5" ht="15" customHeight="1" x14ac:dyDescent="0.2">
      <c r="A160" s="40" t="s">
        <v>1654</v>
      </c>
      <c r="B160" s="53" t="s">
        <v>1654</v>
      </c>
      <c r="C160" t="s">
        <v>466</v>
      </c>
      <c r="D160" t="s">
        <v>3470</v>
      </c>
      <c r="E160" t="s">
        <v>3470</v>
      </c>
    </row>
    <row r="161" spans="1:5" ht="15" customHeight="1" x14ac:dyDescent="0.2">
      <c r="A161" s="40" t="s">
        <v>1655</v>
      </c>
      <c r="B161" s="53" t="s">
        <v>1655</v>
      </c>
      <c r="C161" t="s">
        <v>467</v>
      </c>
      <c r="D161" t="s">
        <v>3470</v>
      </c>
      <c r="E161" t="s">
        <v>3470</v>
      </c>
    </row>
    <row r="162" spans="1:5" ht="15" customHeight="1" x14ac:dyDescent="0.2">
      <c r="A162" s="40" t="s">
        <v>1656</v>
      </c>
      <c r="B162" s="53" t="s">
        <v>1656</v>
      </c>
      <c r="C162" t="s">
        <v>468</v>
      </c>
      <c r="D162" t="s">
        <v>3470</v>
      </c>
      <c r="E162" t="s">
        <v>3470</v>
      </c>
    </row>
    <row r="163" spans="1:5" ht="15" customHeight="1" x14ac:dyDescent="0.2">
      <c r="A163" s="40" t="s">
        <v>1657</v>
      </c>
      <c r="B163" s="53" t="s">
        <v>1657</v>
      </c>
      <c r="C163" t="s">
        <v>470</v>
      </c>
      <c r="D163" t="s">
        <v>3470</v>
      </c>
      <c r="E163" t="s">
        <v>3470</v>
      </c>
    </row>
    <row r="164" spans="1:5" ht="15" customHeight="1" x14ac:dyDescent="0.2">
      <c r="A164" s="40" t="s">
        <v>1658</v>
      </c>
      <c r="B164" s="53" t="s">
        <v>1658</v>
      </c>
      <c r="C164" t="s">
        <v>471</v>
      </c>
      <c r="D164" t="s">
        <v>3470</v>
      </c>
      <c r="E164" t="s">
        <v>3470</v>
      </c>
    </row>
    <row r="165" spans="1:5" ht="15" customHeight="1" x14ac:dyDescent="0.2">
      <c r="A165" s="40" t="s">
        <v>1659</v>
      </c>
      <c r="B165" s="53" t="s">
        <v>1659</v>
      </c>
      <c r="C165" t="s">
        <v>472</v>
      </c>
      <c r="D165" t="s">
        <v>3470</v>
      </c>
      <c r="E165" t="s">
        <v>3470</v>
      </c>
    </row>
    <row r="166" spans="1:5" ht="15" customHeight="1" x14ac:dyDescent="0.2">
      <c r="A166" s="40" t="s">
        <v>1660</v>
      </c>
      <c r="B166" s="53" t="s">
        <v>1660</v>
      </c>
      <c r="C166" t="s">
        <v>473</v>
      </c>
      <c r="D166" t="s">
        <v>3470</v>
      </c>
      <c r="E166" t="s">
        <v>3470</v>
      </c>
    </row>
    <row r="167" spans="1:5" ht="15" customHeight="1" x14ac:dyDescent="0.2">
      <c r="A167" s="40" t="s">
        <v>1661</v>
      </c>
      <c r="B167" s="53" t="s">
        <v>1661</v>
      </c>
      <c r="C167" t="s">
        <v>475</v>
      </c>
      <c r="D167" t="s">
        <v>3470</v>
      </c>
      <c r="E167" t="s">
        <v>3470</v>
      </c>
    </row>
    <row r="168" spans="1:5" ht="15" customHeight="1" x14ac:dyDescent="0.2">
      <c r="A168" s="40" t="s">
        <v>1662</v>
      </c>
      <c r="B168" s="53" t="s">
        <v>1662</v>
      </c>
      <c r="C168" t="s">
        <v>476</v>
      </c>
      <c r="D168" t="s">
        <v>3470</v>
      </c>
      <c r="E168" t="s">
        <v>3470</v>
      </c>
    </row>
    <row r="169" spans="1:5" ht="15" customHeight="1" x14ac:dyDescent="0.2">
      <c r="A169" s="40" t="s">
        <v>1663</v>
      </c>
      <c r="B169" s="53" t="s">
        <v>1663</v>
      </c>
      <c r="C169" t="s">
        <v>478</v>
      </c>
      <c r="D169" t="s">
        <v>3470</v>
      </c>
      <c r="E169" t="s">
        <v>3470</v>
      </c>
    </row>
    <row r="170" spans="1:5" ht="15" customHeight="1" x14ac:dyDescent="0.2">
      <c r="A170" s="40" t="s">
        <v>1664</v>
      </c>
      <c r="B170" s="53" t="s">
        <v>1664</v>
      </c>
      <c r="C170" t="s">
        <v>479</v>
      </c>
      <c r="D170" t="s">
        <v>3470</v>
      </c>
      <c r="E170" t="s">
        <v>3470</v>
      </c>
    </row>
    <row r="171" spans="1:5" ht="15" customHeight="1" x14ac:dyDescent="0.2">
      <c r="A171" s="40" t="s">
        <v>1665</v>
      </c>
      <c r="B171" s="53" t="s">
        <v>1665</v>
      </c>
      <c r="C171" t="s">
        <v>480</v>
      </c>
      <c r="D171" t="s">
        <v>3470</v>
      </c>
      <c r="E171" t="s">
        <v>3470</v>
      </c>
    </row>
    <row r="172" spans="1:5" ht="15" customHeight="1" x14ac:dyDescent="0.2">
      <c r="A172" s="40" t="s">
        <v>1666</v>
      </c>
      <c r="B172" s="53" t="s">
        <v>1666</v>
      </c>
      <c r="C172" t="s">
        <v>481</v>
      </c>
      <c r="D172" t="s">
        <v>3470</v>
      </c>
      <c r="E172" t="s">
        <v>3470</v>
      </c>
    </row>
    <row r="173" spans="1:5" ht="15" customHeight="1" x14ac:dyDescent="0.2">
      <c r="A173" s="40" t="s">
        <v>1667</v>
      </c>
      <c r="B173" s="53" t="s">
        <v>1667</v>
      </c>
      <c r="C173" t="s">
        <v>482</v>
      </c>
      <c r="D173" t="s">
        <v>3470</v>
      </c>
      <c r="E173" t="s">
        <v>3470</v>
      </c>
    </row>
    <row r="174" spans="1:5" ht="15" customHeight="1" x14ac:dyDescent="0.2">
      <c r="A174" s="40" t="s">
        <v>1668</v>
      </c>
      <c r="B174" s="53" t="s">
        <v>1668</v>
      </c>
      <c r="C174" t="s">
        <v>483</v>
      </c>
      <c r="D174" t="s">
        <v>3470</v>
      </c>
      <c r="E174" t="s">
        <v>3470</v>
      </c>
    </row>
    <row r="175" spans="1:5" ht="15" customHeight="1" x14ac:dyDescent="0.2">
      <c r="A175" s="40" t="s">
        <v>1669</v>
      </c>
      <c r="B175" s="53" t="s">
        <v>1669</v>
      </c>
      <c r="C175" t="s">
        <v>484</v>
      </c>
      <c r="D175" t="s">
        <v>3470</v>
      </c>
      <c r="E175" t="s">
        <v>3470</v>
      </c>
    </row>
    <row r="176" spans="1:5" ht="15" customHeight="1" x14ac:dyDescent="0.2">
      <c r="A176" s="40" t="s">
        <v>1670</v>
      </c>
      <c r="B176" s="53" t="s">
        <v>1670</v>
      </c>
      <c r="C176" t="s">
        <v>485</v>
      </c>
      <c r="D176" t="s">
        <v>3470</v>
      </c>
      <c r="E176" t="s">
        <v>3470</v>
      </c>
    </row>
    <row r="177" spans="1:5" ht="15" customHeight="1" x14ac:dyDescent="0.2">
      <c r="A177" s="40" t="s">
        <v>1671</v>
      </c>
      <c r="B177" s="53" t="s">
        <v>1671</v>
      </c>
      <c r="C177" t="s">
        <v>486</v>
      </c>
      <c r="D177" t="s">
        <v>3470</v>
      </c>
      <c r="E177" t="s">
        <v>3470</v>
      </c>
    </row>
    <row r="178" spans="1:5" ht="15" customHeight="1" x14ac:dyDescent="0.2">
      <c r="A178" s="40" t="s">
        <v>1672</v>
      </c>
      <c r="B178" s="53" t="s">
        <v>1672</v>
      </c>
      <c r="C178" t="s">
        <v>490</v>
      </c>
      <c r="D178" t="s">
        <v>3470</v>
      </c>
      <c r="E178" t="s">
        <v>3470</v>
      </c>
    </row>
    <row r="179" spans="1:5" ht="15" customHeight="1" x14ac:dyDescent="0.2">
      <c r="A179" s="40" t="s">
        <v>1673</v>
      </c>
      <c r="B179" s="53" t="s">
        <v>1673</v>
      </c>
      <c r="C179" t="s">
        <v>491</v>
      </c>
      <c r="D179" t="s">
        <v>3470</v>
      </c>
      <c r="E179" t="s">
        <v>3470</v>
      </c>
    </row>
    <row r="180" spans="1:5" ht="15" customHeight="1" x14ac:dyDescent="0.2">
      <c r="A180" s="40" t="s">
        <v>1674</v>
      </c>
      <c r="B180" s="53" t="s">
        <v>1674</v>
      </c>
      <c r="C180" t="s">
        <v>492</v>
      </c>
      <c r="D180" t="s">
        <v>3470</v>
      </c>
      <c r="E180" t="s">
        <v>3470</v>
      </c>
    </row>
    <row r="181" spans="1:5" ht="15" customHeight="1" x14ac:dyDescent="0.2">
      <c r="A181" s="53" t="s">
        <v>120</v>
      </c>
      <c r="B181" s="53" t="s">
        <v>120</v>
      </c>
      <c r="C181" t="s">
        <v>121</v>
      </c>
      <c r="D181" t="s">
        <v>3470</v>
      </c>
      <c r="E181" t="s">
        <v>3470</v>
      </c>
    </row>
    <row r="182" spans="1:5" ht="15" customHeight="1" x14ac:dyDescent="0.2">
      <c r="A182" s="40" t="s">
        <v>1675</v>
      </c>
      <c r="B182" s="53" t="s">
        <v>1675</v>
      </c>
      <c r="C182" t="s">
        <v>497</v>
      </c>
      <c r="D182" t="s">
        <v>3470</v>
      </c>
      <c r="E182" t="s">
        <v>3470</v>
      </c>
    </row>
    <row r="183" spans="1:5" ht="15" customHeight="1" x14ac:dyDescent="0.2">
      <c r="A183" s="40" t="s">
        <v>1676</v>
      </c>
      <c r="B183" s="53" t="s">
        <v>1676</v>
      </c>
      <c r="C183" t="s">
        <v>498</v>
      </c>
      <c r="D183" t="s">
        <v>3470</v>
      </c>
      <c r="E183" t="s">
        <v>3470</v>
      </c>
    </row>
    <row r="184" spans="1:5" ht="15" customHeight="1" x14ac:dyDescent="0.2">
      <c r="A184" s="40" t="s">
        <v>1677</v>
      </c>
      <c r="B184" s="53" t="s">
        <v>1677</v>
      </c>
      <c r="C184" t="s">
        <v>499</v>
      </c>
      <c r="D184" t="s">
        <v>3470</v>
      </c>
      <c r="E184" t="s">
        <v>3470</v>
      </c>
    </row>
    <row r="185" spans="1:5" ht="15" customHeight="1" x14ac:dyDescent="0.2">
      <c r="A185" s="40" t="s">
        <v>1678</v>
      </c>
      <c r="B185" s="53" t="s">
        <v>1678</v>
      </c>
      <c r="C185" t="s">
        <v>500</v>
      </c>
      <c r="D185" t="s">
        <v>3470</v>
      </c>
      <c r="E185" t="s">
        <v>3470</v>
      </c>
    </row>
    <row r="186" spans="1:5" ht="15" customHeight="1" x14ac:dyDescent="0.2">
      <c r="A186" s="40" t="s">
        <v>1679</v>
      </c>
      <c r="B186" s="53" t="s">
        <v>1679</v>
      </c>
      <c r="C186" t="s">
        <v>502</v>
      </c>
      <c r="D186" t="s">
        <v>3470</v>
      </c>
      <c r="E186" t="s">
        <v>3470</v>
      </c>
    </row>
    <row r="187" spans="1:5" ht="15" customHeight="1" x14ac:dyDescent="0.2">
      <c r="A187" s="40" t="s">
        <v>1680</v>
      </c>
      <c r="B187" s="53" t="s">
        <v>1680</v>
      </c>
      <c r="C187" t="s">
        <v>504</v>
      </c>
      <c r="D187" t="s">
        <v>3470</v>
      </c>
      <c r="E187" t="s">
        <v>3470</v>
      </c>
    </row>
    <row r="188" spans="1:5" ht="15" customHeight="1" x14ac:dyDescent="0.2">
      <c r="A188" s="40" t="s">
        <v>1681</v>
      </c>
      <c r="B188" s="53" t="s">
        <v>1681</v>
      </c>
      <c r="C188" t="s">
        <v>505</v>
      </c>
      <c r="D188" t="s">
        <v>3470</v>
      </c>
      <c r="E188" t="s">
        <v>3470</v>
      </c>
    </row>
    <row r="189" spans="1:5" ht="15" customHeight="1" x14ac:dyDescent="0.2">
      <c r="A189" s="40" t="s">
        <v>1682</v>
      </c>
      <c r="B189" s="53" t="s">
        <v>1682</v>
      </c>
      <c r="C189" t="s">
        <v>506</v>
      </c>
      <c r="D189" t="s">
        <v>3470</v>
      </c>
      <c r="E189" t="s">
        <v>3470</v>
      </c>
    </row>
    <row r="190" spans="1:5" ht="15" customHeight="1" x14ac:dyDescent="0.2">
      <c r="A190" s="40" t="s">
        <v>1683</v>
      </c>
      <c r="B190" s="53" t="s">
        <v>1683</v>
      </c>
      <c r="C190" t="s">
        <v>507</v>
      </c>
      <c r="D190" t="s">
        <v>3470</v>
      </c>
      <c r="E190" t="s">
        <v>3470</v>
      </c>
    </row>
    <row r="191" spans="1:5" ht="15" customHeight="1" x14ac:dyDescent="0.2">
      <c r="A191" s="40" t="s">
        <v>1684</v>
      </c>
      <c r="B191" s="53" t="s">
        <v>1684</v>
      </c>
      <c r="C191" t="s">
        <v>508</v>
      </c>
      <c r="D191" t="s">
        <v>3470</v>
      </c>
      <c r="E191" t="s">
        <v>3470</v>
      </c>
    </row>
    <row r="192" spans="1:5" ht="15" customHeight="1" x14ac:dyDescent="0.2">
      <c r="A192" s="40" t="s">
        <v>1685</v>
      </c>
      <c r="B192" s="53" t="s">
        <v>1685</v>
      </c>
      <c r="C192" t="s">
        <v>509</v>
      </c>
      <c r="D192" t="s">
        <v>3470</v>
      </c>
      <c r="E192" t="s">
        <v>3470</v>
      </c>
    </row>
    <row r="193" spans="1:5" ht="15" customHeight="1" x14ac:dyDescent="0.2">
      <c r="A193" s="40" t="s">
        <v>1686</v>
      </c>
      <c r="B193" s="53" t="s">
        <v>1686</v>
      </c>
      <c r="C193" t="s">
        <v>510</v>
      </c>
      <c r="D193" t="s">
        <v>3470</v>
      </c>
      <c r="E193" t="s">
        <v>3470</v>
      </c>
    </row>
    <row r="194" spans="1:5" ht="15" customHeight="1" x14ac:dyDescent="0.2">
      <c r="A194" s="40" t="s">
        <v>1687</v>
      </c>
      <c r="B194" s="53" t="s">
        <v>1687</v>
      </c>
      <c r="C194" t="s">
        <v>511</v>
      </c>
      <c r="D194" t="s">
        <v>3470</v>
      </c>
      <c r="E194" t="s">
        <v>3470</v>
      </c>
    </row>
    <row r="195" spans="1:5" ht="15" customHeight="1" x14ac:dyDescent="0.2">
      <c r="A195" s="40" t="s">
        <v>1688</v>
      </c>
      <c r="B195" s="53" t="s">
        <v>1688</v>
      </c>
      <c r="C195" t="s">
        <v>512</v>
      </c>
      <c r="D195" t="s">
        <v>3470</v>
      </c>
      <c r="E195" t="s">
        <v>3470</v>
      </c>
    </row>
    <row r="196" spans="1:5" ht="15" customHeight="1" x14ac:dyDescent="0.2">
      <c r="A196" s="40" t="s">
        <v>1689</v>
      </c>
      <c r="B196" s="53" t="s">
        <v>1689</v>
      </c>
      <c r="C196" t="s">
        <v>513</v>
      </c>
      <c r="D196" t="s">
        <v>3470</v>
      </c>
      <c r="E196" t="s">
        <v>3470</v>
      </c>
    </row>
    <row r="197" spans="1:5" ht="15" customHeight="1" x14ac:dyDescent="0.2">
      <c r="A197" s="40" t="s">
        <v>1690</v>
      </c>
      <c r="B197" s="53" t="s">
        <v>1690</v>
      </c>
      <c r="C197" t="s">
        <v>515</v>
      </c>
      <c r="D197" t="s">
        <v>3470</v>
      </c>
      <c r="E197" t="s">
        <v>3470</v>
      </c>
    </row>
    <row r="198" spans="1:5" ht="15" customHeight="1" x14ac:dyDescent="0.2">
      <c r="A198" s="40" t="s">
        <v>1691</v>
      </c>
      <c r="B198" s="53" t="s">
        <v>1691</v>
      </c>
      <c r="C198" t="s">
        <v>516</v>
      </c>
      <c r="D198" t="s">
        <v>3470</v>
      </c>
      <c r="E198" t="s">
        <v>3470</v>
      </c>
    </row>
    <row r="199" spans="1:5" ht="15" customHeight="1" x14ac:dyDescent="0.2">
      <c r="A199" s="40" t="s">
        <v>1692</v>
      </c>
      <c r="B199" s="53" t="s">
        <v>1692</v>
      </c>
      <c r="C199" t="s">
        <v>518</v>
      </c>
      <c r="D199" t="s">
        <v>3470</v>
      </c>
      <c r="E199" t="s">
        <v>3470</v>
      </c>
    </row>
    <row r="200" spans="1:5" ht="15" customHeight="1" x14ac:dyDescent="0.2">
      <c r="A200" s="40" t="s">
        <v>1693</v>
      </c>
      <c r="B200" s="53" t="s">
        <v>1693</v>
      </c>
      <c r="C200" t="s">
        <v>519</v>
      </c>
      <c r="D200" t="s">
        <v>3470</v>
      </c>
      <c r="E200" t="s">
        <v>3470</v>
      </c>
    </row>
    <row r="201" spans="1:5" ht="15" customHeight="1" x14ac:dyDescent="0.2">
      <c r="A201" s="40" t="s">
        <v>1694</v>
      </c>
      <c r="B201" s="53" t="s">
        <v>1694</v>
      </c>
      <c r="C201" t="s">
        <v>520</v>
      </c>
      <c r="D201" t="s">
        <v>3470</v>
      </c>
      <c r="E201" t="s">
        <v>3470</v>
      </c>
    </row>
    <row r="202" spans="1:5" ht="15" customHeight="1" x14ac:dyDescent="0.2">
      <c r="A202" s="40" t="s">
        <v>1695</v>
      </c>
      <c r="B202" s="53" t="s">
        <v>1695</v>
      </c>
      <c r="C202" t="s">
        <v>521</v>
      </c>
      <c r="D202" t="s">
        <v>3470</v>
      </c>
      <c r="E202" t="s">
        <v>3470</v>
      </c>
    </row>
    <row r="203" spans="1:5" ht="15" customHeight="1" x14ac:dyDescent="0.2">
      <c r="A203" s="40" t="s">
        <v>1696</v>
      </c>
      <c r="B203" s="53" t="s">
        <v>1696</v>
      </c>
      <c r="C203" t="s">
        <v>522</v>
      </c>
      <c r="D203" t="s">
        <v>3470</v>
      </c>
      <c r="E203" t="s">
        <v>3470</v>
      </c>
    </row>
    <row r="204" spans="1:5" ht="15" customHeight="1" x14ac:dyDescent="0.2">
      <c r="A204" s="40" t="s">
        <v>1697</v>
      </c>
      <c r="B204" s="53" t="s">
        <v>1697</v>
      </c>
      <c r="C204" t="s">
        <v>524</v>
      </c>
      <c r="D204" t="s">
        <v>3470</v>
      </c>
      <c r="E204" t="s">
        <v>3470</v>
      </c>
    </row>
    <row r="205" spans="1:5" ht="15" customHeight="1" x14ac:dyDescent="0.2">
      <c r="A205" s="40" t="s">
        <v>1698</v>
      </c>
      <c r="B205" s="53" t="s">
        <v>1698</v>
      </c>
      <c r="C205" t="s">
        <v>527</v>
      </c>
      <c r="D205" t="s">
        <v>3470</v>
      </c>
      <c r="E205" t="s">
        <v>3470</v>
      </c>
    </row>
    <row r="206" spans="1:5" ht="15" customHeight="1" x14ac:dyDescent="0.2">
      <c r="A206" s="40" t="s">
        <v>1699</v>
      </c>
      <c r="B206" s="53" t="s">
        <v>1699</v>
      </c>
      <c r="C206" t="s">
        <v>1700</v>
      </c>
      <c r="D206" t="s">
        <v>3470</v>
      </c>
      <c r="E206" t="s">
        <v>3470</v>
      </c>
    </row>
    <row r="207" spans="1:5" ht="15" customHeight="1" x14ac:dyDescent="0.2">
      <c r="A207" s="40" t="s">
        <v>1701</v>
      </c>
      <c r="B207" s="53" t="s">
        <v>1701</v>
      </c>
      <c r="C207" t="s">
        <v>447</v>
      </c>
      <c r="D207" t="s">
        <v>3470</v>
      </c>
      <c r="E207" t="s">
        <v>3470</v>
      </c>
    </row>
    <row r="208" spans="1:5" ht="15" customHeight="1" x14ac:dyDescent="0.2">
      <c r="A208" s="40" t="s">
        <v>1702</v>
      </c>
      <c r="B208" s="53" t="s">
        <v>1702</v>
      </c>
      <c r="C208" t="s">
        <v>448</v>
      </c>
      <c r="D208" t="s">
        <v>3470</v>
      </c>
      <c r="E208" t="s">
        <v>3470</v>
      </c>
    </row>
    <row r="209" spans="1:5" ht="15" customHeight="1" x14ac:dyDescent="0.2">
      <c r="A209" s="40" t="s">
        <v>1703</v>
      </c>
      <c r="B209" s="53" t="s">
        <v>1703</v>
      </c>
      <c r="C209" t="s">
        <v>451</v>
      </c>
      <c r="D209" t="s">
        <v>3470</v>
      </c>
      <c r="E209" t="s">
        <v>3470</v>
      </c>
    </row>
    <row r="210" spans="1:5" ht="15" customHeight="1" x14ac:dyDescent="0.2">
      <c r="A210" s="40" t="s">
        <v>1704</v>
      </c>
      <c r="B210" s="53" t="s">
        <v>1704</v>
      </c>
      <c r="C210" t="s">
        <v>452</v>
      </c>
      <c r="D210" t="s">
        <v>3470</v>
      </c>
      <c r="E210" t="s">
        <v>3470</v>
      </c>
    </row>
    <row r="211" spans="1:5" ht="15" customHeight="1" x14ac:dyDescent="0.2">
      <c r="A211" s="40" t="s">
        <v>1705</v>
      </c>
      <c r="B211" s="53" t="s">
        <v>1705</v>
      </c>
      <c r="C211" t="s">
        <v>453</v>
      </c>
      <c r="D211" t="s">
        <v>3470</v>
      </c>
      <c r="E211" t="s">
        <v>3470</v>
      </c>
    </row>
    <row r="212" spans="1:5" ht="15" customHeight="1" x14ac:dyDescent="0.2">
      <c r="A212" s="40" t="s">
        <v>1706</v>
      </c>
      <c r="B212" s="53" t="s">
        <v>1706</v>
      </c>
      <c r="C212" t="s">
        <v>455</v>
      </c>
      <c r="D212" t="s">
        <v>3470</v>
      </c>
      <c r="E212" t="s">
        <v>3470</v>
      </c>
    </row>
    <row r="213" spans="1:5" ht="15" customHeight="1" x14ac:dyDescent="0.2">
      <c r="A213" s="40" t="s">
        <v>1707</v>
      </c>
      <c r="B213" s="53" t="s">
        <v>1707</v>
      </c>
      <c r="C213" t="s">
        <v>456</v>
      </c>
      <c r="D213" t="s">
        <v>3470</v>
      </c>
      <c r="E213" t="s">
        <v>3470</v>
      </c>
    </row>
    <row r="214" spans="1:5" ht="15" customHeight="1" x14ac:dyDescent="0.2">
      <c r="A214" s="40" t="s">
        <v>1708</v>
      </c>
      <c r="B214" s="53" t="s">
        <v>1708</v>
      </c>
      <c r="C214" t="s">
        <v>457</v>
      </c>
      <c r="D214" t="s">
        <v>3470</v>
      </c>
      <c r="E214" t="s">
        <v>3470</v>
      </c>
    </row>
    <row r="215" spans="1:5" ht="15" customHeight="1" x14ac:dyDescent="0.2">
      <c r="A215" s="40" t="s">
        <v>1709</v>
      </c>
      <c r="B215" s="53" t="s">
        <v>1709</v>
      </c>
      <c r="C215" t="s">
        <v>458</v>
      </c>
      <c r="D215" t="s">
        <v>3470</v>
      </c>
      <c r="E215" t="s">
        <v>3470</v>
      </c>
    </row>
    <row r="216" spans="1:5" ht="15" customHeight="1" x14ac:dyDescent="0.2">
      <c r="A216" s="40" t="s">
        <v>1710</v>
      </c>
      <c r="B216" s="53" t="s">
        <v>1710</v>
      </c>
      <c r="C216" t="s">
        <v>459</v>
      </c>
      <c r="D216" t="s">
        <v>3470</v>
      </c>
      <c r="E216" t="s">
        <v>3470</v>
      </c>
    </row>
    <row r="217" spans="1:5" ht="15" customHeight="1" x14ac:dyDescent="0.2">
      <c r="A217" s="40" t="s">
        <v>1711</v>
      </c>
      <c r="B217" s="53" t="s">
        <v>1711</v>
      </c>
      <c r="C217" t="s">
        <v>460</v>
      </c>
      <c r="D217" t="s">
        <v>3470</v>
      </c>
      <c r="E217" t="s">
        <v>3470</v>
      </c>
    </row>
    <row r="218" spans="1:5" ht="15" customHeight="1" x14ac:dyDescent="0.2">
      <c r="A218" s="27" t="s">
        <v>1901</v>
      </c>
      <c r="B218" t="s">
        <v>1901</v>
      </c>
      <c r="C218" t="s">
        <v>1902</v>
      </c>
      <c r="D218" t="s">
        <v>3470</v>
      </c>
      <c r="E218" t="s">
        <v>3470</v>
      </c>
    </row>
    <row r="219" spans="1:5" ht="15" customHeight="1" x14ac:dyDescent="0.2">
      <c r="A219" s="27" t="s">
        <v>1903</v>
      </c>
      <c r="B219" t="s">
        <v>1903</v>
      </c>
      <c r="C219" t="s">
        <v>1904</v>
      </c>
      <c r="D219" t="s">
        <v>3470</v>
      </c>
      <c r="E219" t="s">
        <v>3470</v>
      </c>
    </row>
    <row r="220" spans="1:5" ht="15" customHeight="1" x14ac:dyDescent="0.2">
      <c r="A220" s="27" t="s">
        <v>1905</v>
      </c>
      <c r="B220" t="s">
        <v>1905</v>
      </c>
      <c r="C220" t="s">
        <v>1906</v>
      </c>
      <c r="D220" t="s">
        <v>3470</v>
      </c>
      <c r="E220" t="s">
        <v>3470</v>
      </c>
    </row>
    <row r="221" spans="1:5" ht="15" customHeight="1" x14ac:dyDescent="0.2">
      <c r="A221" s="27" t="s">
        <v>1907</v>
      </c>
      <c r="B221" t="s">
        <v>1907</v>
      </c>
      <c r="C221" t="s">
        <v>1908</v>
      </c>
      <c r="D221" t="s">
        <v>3470</v>
      </c>
      <c r="E221" t="s">
        <v>3470</v>
      </c>
    </row>
    <row r="222" spans="1:5" ht="15" customHeight="1" x14ac:dyDescent="0.2">
      <c r="A222" s="27" t="s">
        <v>1909</v>
      </c>
      <c r="B222" t="s">
        <v>1909</v>
      </c>
      <c r="C222" t="s">
        <v>1910</v>
      </c>
      <c r="D222" t="s">
        <v>3470</v>
      </c>
      <c r="E222" t="s">
        <v>3470</v>
      </c>
    </row>
    <row r="223" spans="1:5" ht="15" customHeight="1" x14ac:dyDescent="0.2">
      <c r="A223" s="27" t="s">
        <v>1911</v>
      </c>
      <c r="B223" t="s">
        <v>1911</v>
      </c>
      <c r="C223" t="s">
        <v>1912</v>
      </c>
      <c r="D223" t="s">
        <v>3470</v>
      </c>
      <c r="E223" t="s">
        <v>3470</v>
      </c>
    </row>
    <row r="224" spans="1:5" ht="15" customHeight="1" x14ac:dyDescent="0.2">
      <c r="A224" s="27" t="s">
        <v>1913</v>
      </c>
      <c r="B224" t="s">
        <v>1913</v>
      </c>
      <c r="C224" t="s">
        <v>1914</v>
      </c>
      <c r="D224" t="s">
        <v>3470</v>
      </c>
      <c r="E224" t="s">
        <v>3470</v>
      </c>
    </row>
    <row r="225" spans="1:5" ht="15" customHeight="1" x14ac:dyDescent="0.2">
      <c r="A225" s="27" t="s">
        <v>1915</v>
      </c>
      <c r="B225" t="s">
        <v>1915</v>
      </c>
      <c r="C225" t="s">
        <v>1916</v>
      </c>
      <c r="D225" t="s">
        <v>3470</v>
      </c>
      <c r="E225" t="s">
        <v>3470</v>
      </c>
    </row>
    <row r="226" spans="1:5" ht="15" customHeight="1" x14ac:dyDescent="0.2">
      <c r="A226" s="27" t="s">
        <v>1917</v>
      </c>
      <c r="B226" t="s">
        <v>1917</v>
      </c>
      <c r="C226" t="s">
        <v>1918</v>
      </c>
      <c r="D226" t="s">
        <v>3470</v>
      </c>
      <c r="E226" t="s">
        <v>3470</v>
      </c>
    </row>
    <row r="227" spans="1:5" ht="15" customHeight="1" x14ac:dyDescent="0.2">
      <c r="A227" s="27" t="s">
        <v>1919</v>
      </c>
      <c r="B227" t="s">
        <v>1919</v>
      </c>
      <c r="C227" t="s">
        <v>1920</v>
      </c>
      <c r="D227" t="s">
        <v>3470</v>
      </c>
      <c r="E227" t="s">
        <v>3470</v>
      </c>
    </row>
    <row r="228" spans="1:5" ht="15" customHeight="1" x14ac:dyDescent="0.2">
      <c r="A228" s="27" t="s">
        <v>1921</v>
      </c>
      <c r="B228" t="s">
        <v>1921</v>
      </c>
      <c r="C228" t="s">
        <v>1922</v>
      </c>
      <c r="D228" t="s">
        <v>3470</v>
      </c>
      <c r="E228" t="s">
        <v>3470</v>
      </c>
    </row>
    <row r="229" spans="1:5" ht="15" customHeight="1" x14ac:dyDescent="0.2">
      <c r="A229" s="27" t="s">
        <v>1924</v>
      </c>
      <c r="B229" t="s">
        <v>1924</v>
      </c>
      <c r="C229" t="s">
        <v>1925</v>
      </c>
      <c r="D229" t="s">
        <v>3470</v>
      </c>
      <c r="E229" t="s">
        <v>3470</v>
      </c>
    </row>
    <row r="230" spans="1:5" ht="15" customHeight="1" x14ac:dyDescent="0.2">
      <c r="A230" s="27" t="s">
        <v>1926</v>
      </c>
      <c r="B230" t="s">
        <v>1926</v>
      </c>
      <c r="C230" t="s">
        <v>1927</v>
      </c>
      <c r="D230" t="s">
        <v>3470</v>
      </c>
      <c r="E230" t="s">
        <v>3470</v>
      </c>
    </row>
    <row r="231" spans="1:5" ht="15" customHeight="1" x14ac:dyDescent="0.2">
      <c r="A231" s="27" t="s">
        <v>1928</v>
      </c>
      <c r="B231" t="s">
        <v>1928</v>
      </c>
      <c r="C231" t="s">
        <v>1929</v>
      </c>
      <c r="D231" t="s">
        <v>3470</v>
      </c>
      <c r="E231" t="s">
        <v>3470</v>
      </c>
    </row>
    <row r="232" spans="1:5" ht="15" customHeight="1" x14ac:dyDescent="0.2">
      <c r="A232" s="27" t="s">
        <v>1930</v>
      </c>
      <c r="B232" t="s">
        <v>1930</v>
      </c>
      <c r="C232" t="s">
        <v>1931</v>
      </c>
      <c r="D232" t="s">
        <v>3470</v>
      </c>
      <c r="E232" t="s">
        <v>3470</v>
      </c>
    </row>
    <row r="233" spans="1:5" ht="15" customHeight="1" x14ac:dyDescent="0.2">
      <c r="A233" s="27" t="s">
        <v>1932</v>
      </c>
      <c r="B233" t="s">
        <v>1932</v>
      </c>
      <c r="C233" t="s">
        <v>1933</v>
      </c>
      <c r="D233" t="s">
        <v>3470</v>
      </c>
      <c r="E233" t="s">
        <v>3470</v>
      </c>
    </row>
    <row r="234" spans="1:5" ht="15" customHeight="1" x14ac:dyDescent="0.2">
      <c r="A234" s="27" t="s">
        <v>2232</v>
      </c>
      <c r="B234" t="s">
        <v>2232</v>
      </c>
      <c r="C234" t="s">
        <v>2233</v>
      </c>
      <c r="D234" t="s">
        <v>3470</v>
      </c>
      <c r="E234" t="s">
        <v>3470</v>
      </c>
    </row>
    <row r="235" spans="1:5" ht="15" customHeight="1" x14ac:dyDescent="0.2">
      <c r="A235" s="27" t="s">
        <v>2234</v>
      </c>
      <c r="B235" t="s">
        <v>2234</v>
      </c>
      <c r="C235" t="s">
        <v>2235</v>
      </c>
      <c r="D235" t="s">
        <v>3470</v>
      </c>
      <c r="E235" t="s">
        <v>3470</v>
      </c>
    </row>
    <row r="236" spans="1:5" ht="15" customHeight="1" x14ac:dyDescent="0.2">
      <c r="A236" s="27" t="s">
        <v>2236</v>
      </c>
      <c r="B236" t="s">
        <v>2236</v>
      </c>
      <c r="C236" t="s">
        <v>2237</v>
      </c>
      <c r="D236" t="s">
        <v>3470</v>
      </c>
      <c r="E236" t="s">
        <v>3470</v>
      </c>
    </row>
    <row r="237" spans="1:5" ht="15" customHeight="1" x14ac:dyDescent="0.2">
      <c r="A237" s="27" t="s">
        <v>1934</v>
      </c>
      <c r="B237" t="s">
        <v>1934</v>
      </c>
      <c r="C237" t="s">
        <v>1935</v>
      </c>
      <c r="D237" t="s">
        <v>3470</v>
      </c>
      <c r="E237" t="s">
        <v>3470</v>
      </c>
    </row>
    <row r="238" spans="1:5" ht="15" customHeight="1" x14ac:dyDescent="0.2">
      <c r="A238" s="27" t="s">
        <v>1936</v>
      </c>
      <c r="B238" t="s">
        <v>1936</v>
      </c>
      <c r="C238" t="s">
        <v>1937</v>
      </c>
      <c r="D238" t="s">
        <v>3470</v>
      </c>
      <c r="E238" t="s">
        <v>3470</v>
      </c>
    </row>
    <row r="239" spans="1:5" ht="15" customHeight="1" x14ac:dyDescent="0.2">
      <c r="A239" s="27" t="s">
        <v>1938</v>
      </c>
      <c r="B239" t="s">
        <v>1938</v>
      </c>
      <c r="C239" t="s">
        <v>1939</v>
      </c>
      <c r="D239" t="s">
        <v>3470</v>
      </c>
      <c r="E239" t="s">
        <v>3470</v>
      </c>
    </row>
    <row r="240" spans="1:5" ht="15" customHeight="1" x14ac:dyDescent="0.2">
      <c r="A240" s="27" t="s">
        <v>1940</v>
      </c>
      <c r="B240" t="s">
        <v>1940</v>
      </c>
      <c r="C240" t="s">
        <v>1941</v>
      </c>
      <c r="D240" t="s">
        <v>3470</v>
      </c>
      <c r="E240" t="s">
        <v>3470</v>
      </c>
    </row>
    <row r="241" spans="1:5" ht="15" customHeight="1" x14ac:dyDescent="0.2">
      <c r="A241" s="27" t="s">
        <v>1942</v>
      </c>
      <c r="B241" t="s">
        <v>1942</v>
      </c>
      <c r="C241" t="s">
        <v>1943</v>
      </c>
      <c r="D241" t="s">
        <v>3470</v>
      </c>
      <c r="E241" t="s">
        <v>3470</v>
      </c>
    </row>
    <row r="242" spans="1:5" ht="15" customHeight="1" x14ac:dyDescent="0.2">
      <c r="A242" s="27" t="s">
        <v>1944</v>
      </c>
      <c r="B242" t="s">
        <v>1944</v>
      </c>
      <c r="C242" t="s">
        <v>1945</v>
      </c>
      <c r="D242" t="s">
        <v>3470</v>
      </c>
      <c r="E242" t="s">
        <v>3470</v>
      </c>
    </row>
    <row r="243" spans="1:5" ht="15" customHeight="1" x14ac:dyDescent="0.2">
      <c r="A243" s="27" t="s">
        <v>1946</v>
      </c>
      <c r="B243" t="s">
        <v>1946</v>
      </c>
      <c r="C243" t="s">
        <v>1947</v>
      </c>
      <c r="D243" t="s">
        <v>3470</v>
      </c>
      <c r="E243" t="s">
        <v>3470</v>
      </c>
    </row>
    <row r="244" spans="1:5" ht="15" customHeight="1" x14ac:dyDescent="0.2">
      <c r="A244" t="s">
        <v>122</v>
      </c>
      <c r="B244" t="s">
        <v>124</v>
      </c>
      <c r="C244" t="s">
        <v>123</v>
      </c>
      <c r="D244" t="s">
        <v>3470</v>
      </c>
      <c r="E244" t="s">
        <v>3470</v>
      </c>
    </row>
    <row r="245" spans="1:5" ht="15" customHeight="1" x14ac:dyDescent="0.2">
      <c r="A245" s="27" t="s">
        <v>588</v>
      </c>
      <c r="B245" t="s">
        <v>588</v>
      </c>
      <c r="C245" t="s">
        <v>589</v>
      </c>
      <c r="D245" t="s">
        <v>3470</v>
      </c>
      <c r="E245" t="s">
        <v>3470</v>
      </c>
    </row>
    <row r="246" spans="1:5" ht="15" customHeight="1" x14ac:dyDescent="0.2">
      <c r="A246" s="27" t="s">
        <v>590</v>
      </c>
      <c r="B246" t="s">
        <v>590</v>
      </c>
      <c r="C246" t="s">
        <v>591</v>
      </c>
      <c r="D246" t="s">
        <v>3470</v>
      </c>
      <c r="E246" t="s">
        <v>3470</v>
      </c>
    </row>
    <row r="247" spans="1:5" ht="15" customHeight="1" x14ac:dyDescent="0.2">
      <c r="A247" s="27" t="s">
        <v>593</v>
      </c>
      <c r="B247" t="s">
        <v>593</v>
      </c>
      <c r="C247" t="s">
        <v>594</v>
      </c>
      <c r="D247" t="s">
        <v>3470</v>
      </c>
      <c r="E247" t="s">
        <v>3470</v>
      </c>
    </row>
    <row r="248" spans="1:5" ht="15" customHeight="1" x14ac:dyDescent="0.2">
      <c r="A248" s="27" t="s">
        <v>595</v>
      </c>
      <c r="B248" t="s">
        <v>595</v>
      </c>
      <c r="C248" t="s">
        <v>596</v>
      </c>
      <c r="D248" t="s">
        <v>3470</v>
      </c>
      <c r="E248" t="s">
        <v>3470</v>
      </c>
    </row>
    <row r="249" spans="1:5" ht="15" customHeight="1" x14ac:dyDescent="0.2">
      <c r="A249" s="27" t="s">
        <v>597</v>
      </c>
      <c r="B249" t="s">
        <v>597</v>
      </c>
      <c r="C249" t="s">
        <v>598</v>
      </c>
      <c r="D249" t="s">
        <v>3470</v>
      </c>
      <c r="E249" t="s">
        <v>3470</v>
      </c>
    </row>
    <row r="250" spans="1:5" ht="15" customHeight="1" x14ac:dyDescent="0.2">
      <c r="A250" s="27" t="s">
        <v>599</v>
      </c>
      <c r="B250" t="s">
        <v>599</v>
      </c>
      <c r="C250" t="s">
        <v>600</v>
      </c>
      <c r="D250" t="s">
        <v>3470</v>
      </c>
      <c r="E250" t="s">
        <v>3470</v>
      </c>
    </row>
    <row r="251" spans="1:5" ht="15" customHeight="1" x14ac:dyDescent="0.2">
      <c r="A251" s="27" t="s">
        <v>601</v>
      </c>
      <c r="B251" t="s">
        <v>601</v>
      </c>
      <c r="C251" t="s">
        <v>602</v>
      </c>
      <c r="D251" t="s">
        <v>3470</v>
      </c>
      <c r="E251" t="s">
        <v>3470</v>
      </c>
    </row>
    <row r="252" spans="1:5" ht="15" customHeight="1" x14ac:dyDescent="0.2">
      <c r="A252" s="27" t="s">
        <v>603</v>
      </c>
      <c r="B252" t="s">
        <v>603</v>
      </c>
      <c r="C252" t="s">
        <v>604</v>
      </c>
      <c r="D252" t="s">
        <v>3470</v>
      </c>
      <c r="E252" t="s">
        <v>3470</v>
      </c>
    </row>
    <row r="253" spans="1:5" ht="15" customHeight="1" x14ac:dyDescent="0.2">
      <c r="A253" s="27" t="s">
        <v>1712</v>
      </c>
      <c r="B253" t="s">
        <v>1712</v>
      </c>
      <c r="C253" t="s">
        <v>1713</v>
      </c>
      <c r="D253" t="s">
        <v>3470</v>
      </c>
      <c r="E253" t="s">
        <v>3470</v>
      </c>
    </row>
    <row r="254" spans="1:5" ht="15" customHeight="1" x14ac:dyDescent="0.2">
      <c r="A254" s="27" t="s">
        <v>1714</v>
      </c>
      <c r="B254" t="s">
        <v>1714</v>
      </c>
      <c r="C254" t="s">
        <v>1715</v>
      </c>
      <c r="D254" t="s">
        <v>3470</v>
      </c>
      <c r="E254" t="s">
        <v>3470</v>
      </c>
    </row>
    <row r="255" spans="1:5" ht="15" customHeight="1" x14ac:dyDescent="0.2">
      <c r="A255" s="27" t="s">
        <v>1716</v>
      </c>
      <c r="B255" t="s">
        <v>1716</v>
      </c>
      <c r="C255" t="s">
        <v>1717</v>
      </c>
      <c r="D255" t="s">
        <v>3470</v>
      </c>
      <c r="E255" t="s">
        <v>3470</v>
      </c>
    </row>
    <row r="256" spans="1:5" ht="15" customHeight="1" x14ac:dyDescent="0.2">
      <c r="A256" s="27" t="s">
        <v>1718</v>
      </c>
      <c r="B256" t="s">
        <v>1718</v>
      </c>
      <c r="C256" t="s">
        <v>1719</v>
      </c>
      <c r="D256" t="s">
        <v>3470</v>
      </c>
      <c r="E256" t="s">
        <v>3470</v>
      </c>
    </row>
    <row r="257" spans="1:5" ht="15" customHeight="1" x14ac:dyDescent="0.2">
      <c r="A257" s="27" t="s">
        <v>1720</v>
      </c>
      <c r="B257" t="s">
        <v>1720</v>
      </c>
      <c r="C257" t="s">
        <v>1721</v>
      </c>
      <c r="D257" t="s">
        <v>3470</v>
      </c>
      <c r="E257" t="s">
        <v>3470</v>
      </c>
    </row>
    <row r="258" spans="1:5" ht="15" customHeight="1" x14ac:dyDescent="0.2">
      <c r="A258" s="27" t="s">
        <v>1722</v>
      </c>
      <c r="B258" t="s">
        <v>1722</v>
      </c>
      <c r="C258" t="s">
        <v>1723</v>
      </c>
      <c r="D258" t="s">
        <v>3470</v>
      </c>
      <c r="E258" t="s">
        <v>3470</v>
      </c>
    </row>
    <row r="259" spans="1:5" ht="15" customHeight="1" x14ac:dyDescent="0.2">
      <c r="A259" s="27" t="s">
        <v>1724</v>
      </c>
      <c r="B259" t="s">
        <v>1724</v>
      </c>
      <c r="C259" t="s">
        <v>1725</v>
      </c>
      <c r="D259" t="s">
        <v>3470</v>
      </c>
      <c r="E259" t="s">
        <v>3470</v>
      </c>
    </row>
    <row r="260" spans="1:5" ht="15" customHeight="1" x14ac:dyDescent="0.2">
      <c r="A260" s="27" t="s">
        <v>605</v>
      </c>
      <c r="B260" t="s">
        <v>605</v>
      </c>
      <c r="C260" t="s">
        <v>606</v>
      </c>
      <c r="D260" t="s">
        <v>3470</v>
      </c>
      <c r="E260" t="s">
        <v>3470</v>
      </c>
    </row>
    <row r="261" spans="1:5" ht="15" customHeight="1" x14ac:dyDescent="0.2">
      <c r="A261" s="27" t="s">
        <v>607</v>
      </c>
      <c r="B261" t="s">
        <v>607</v>
      </c>
      <c r="C261" t="s">
        <v>608</v>
      </c>
      <c r="D261" t="s">
        <v>3470</v>
      </c>
      <c r="E261" t="s">
        <v>3470</v>
      </c>
    </row>
    <row r="262" spans="1:5" ht="15" customHeight="1" x14ac:dyDescent="0.2">
      <c r="A262" s="27" t="s">
        <v>84</v>
      </c>
      <c r="B262" t="s">
        <v>84</v>
      </c>
      <c r="C262" t="s">
        <v>85</v>
      </c>
      <c r="D262" t="s">
        <v>3470</v>
      </c>
      <c r="E262" t="s">
        <v>3470</v>
      </c>
    </row>
    <row r="263" spans="1:5" ht="15" customHeight="1" x14ac:dyDescent="0.2">
      <c r="A263" s="27" t="s">
        <v>86</v>
      </c>
      <c r="B263" t="s">
        <v>86</v>
      </c>
      <c r="C263" t="s">
        <v>87</v>
      </c>
      <c r="D263" t="s">
        <v>3470</v>
      </c>
      <c r="E263" t="s">
        <v>3470</v>
      </c>
    </row>
    <row r="264" spans="1:5" ht="15" customHeight="1" x14ac:dyDescent="0.2">
      <c r="A264" s="27" t="s">
        <v>609</v>
      </c>
      <c r="B264" t="s">
        <v>609</v>
      </c>
      <c r="C264" t="s">
        <v>610</v>
      </c>
      <c r="D264" t="s">
        <v>3470</v>
      </c>
      <c r="E264" t="s">
        <v>3470</v>
      </c>
    </row>
    <row r="265" spans="1:5" ht="15" customHeight="1" x14ac:dyDescent="0.2">
      <c r="A265" s="27" t="s">
        <v>611</v>
      </c>
      <c r="B265" t="s">
        <v>611</v>
      </c>
      <c r="C265" t="s">
        <v>612</v>
      </c>
      <c r="D265" t="s">
        <v>3470</v>
      </c>
      <c r="E265" t="s">
        <v>3470</v>
      </c>
    </row>
    <row r="266" spans="1:5" ht="15" customHeight="1" x14ac:dyDescent="0.2">
      <c r="A266" s="27" t="s">
        <v>613</v>
      </c>
      <c r="B266" t="s">
        <v>613</v>
      </c>
      <c r="C266" t="s">
        <v>614</v>
      </c>
      <c r="D266" t="s">
        <v>3470</v>
      </c>
      <c r="E266" t="s">
        <v>3470</v>
      </c>
    </row>
    <row r="267" spans="1:5" ht="15" customHeight="1" x14ac:dyDescent="0.2">
      <c r="A267" s="27" t="s">
        <v>615</v>
      </c>
      <c r="B267" t="s">
        <v>615</v>
      </c>
      <c r="C267" t="s">
        <v>616</v>
      </c>
      <c r="D267" t="s">
        <v>3470</v>
      </c>
      <c r="E267" t="s">
        <v>3470</v>
      </c>
    </row>
    <row r="268" spans="1:5" ht="15" customHeight="1" x14ac:dyDescent="0.2">
      <c r="A268" s="27" t="s">
        <v>618</v>
      </c>
      <c r="B268" t="s">
        <v>618</v>
      </c>
      <c r="C268" t="s">
        <v>619</v>
      </c>
      <c r="D268" t="s">
        <v>3470</v>
      </c>
      <c r="E268" t="s">
        <v>3470</v>
      </c>
    </row>
    <row r="269" spans="1:5" ht="15" customHeight="1" x14ac:dyDescent="0.2">
      <c r="A269" s="27" t="s">
        <v>1948</v>
      </c>
      <c r="B269" t="s">
        <v>1948</v>
      </c>
      <c r="C269" t="s">
        <v>1949</v>
      </c>
      <c r="D269" t="s">
        <v>3470</v>
      </c>
      <c r="E269" t="s">
        <v>3470</v>
      </c>
    </row>
    <row r="270" spans="1:5" ht="15" customHeight="1" x14ac:dyDescent="0.2">
      <c r="A270" s="27" t="s">
        <v>1950</v>
      </c>
      <c r="B270" t="s">
        <v>1950</v>
      </c>
      <c r="C270" t="s">
        <v>1951</v>
      </c>
      <c r="D270" t="s">
        <v>3470</v>
      </c>
      <c r="E270" t="s">
        <v>3470</v>
      </c>
    </row>
    <row r="271" spans="1:5" ht="15" customHeight="1" x14ac:dyDescent="0.2">
      <c r="A271" s="27" t="s">
        <v>1952</v>
      </c>
      <c r="B271" t="s">
        <v>1952</v>
      </c>
      <c r="C271" t="s">
        <v>1953</v>
      </c>
      <c r="D271" t="s">
        <v>3470</v>
      </c>
      <c r="E271" t="s">
        <v>3470</v>
      </c>
    </row>
    <row r="272" spans="1:5" ht="15" customHeight="1" x14ac:dyDescent="0.2">
      <c r="A272" s="27" t="s">
        <v>620</v>
      </c>
      <c r="B272" t="s">
        <v>620</v>
      </c>
      <c r="C272" t="s">
        <v>621</v>
      </c>
      <c r="D272" t="s">
        <v>3470</v>
      </c>
      <c r="E272" t="s">
        <v>3470</v>
      </c>
    </row>
    <row r="273" spans="1:5" ht="15" customHeight="1" x14ac:dyDescent="0.2">
      <c r="A273" s="27" t="s">
        <v>622</v>
      </c>
      <c r="B273" t="s">
        <v>622</v>
      </c>
      <c r="C273" t="s">
        <v>623</v>
      </c>
      <c r="D273" t="s">
        <v>3470</v>
      </c>
      <c r="E273" t="s">
        <v>3470</v>
      </c>
    </row>
    <row r="274" spans="1:5" ht="15" customHeight="1" x14ac:dyDescent="0.2">
      <c r="A274" s="27" t="s">
        <v>624</v>
      </c>
      <c r="B274" t="s">
        <v>624</v>
      </c>
      <c r="C274" t="s">
        <v>625</v>
      </c>
      <c r="D274" t="s">
        <v>3470</v>
      </c>
      <c r="E274" t="s">
        <v>3470</v>
      </c>
    </row>
    <row r="275" spans="1:5" ht="15" customHeight="1" x14ac:dyDescent="0.2">
      <c r="A275" s="27" t="s">
        <v>627</v>
      </c>
      <c r="B275" t="s">
        <v>627</v>
      </c>
      <c r="C275" t="s">
        <v>628</v>
      </c>
      <c r="D275" t="s">
        <v>3470</v>
      </c>
      <c r="E275" t="s">
        <v>3470</v>
      </c>
    </row>
    <row r="276" spans="1:5" ht="15" customHeight="1" x14ac:dyDescent="0.2">
      <c r="A276" s="27" t="s">
        <v>1838</v>
      </c>
      <c r="B276" t="s">
        <v>1838</v>
      </c>
      <c r="C276" t="s">
        <v>1840</v>
      </c>
      <c r="D276" t="s">
        <v>3470</v>
      </c>
      <c r="E276" t="s">
        <v>3470</v>
      </c>
    </row>
    <row r="277" spans="1:5" ht="15" customHeight="1" x14ac:dyDescent="0.2">
      <c r="A277" s="27" t="s">
        <v>82</v>
      </c>
      <c r="B277" t="s">
        <v>82</v>
      </c>
      <c r="C277" t="s">
        <v>83</v>
      </c>
      <c r="D277" t="s">
        <v>3470</v>
      </c>
      <c r="E277" t="s">
        <v>3470</v>
      </c>
    </row>
    <row r="278" spans="1:5" ht="15" customHeight="1" x14ac:dyDescent="0.2">
      <c r="A278" s="27" t="s">
        <v>1839</v>
      </c>
      <c r="B278" t="s">
        <v>1839</v>
      </c>
      <c r="C278" t="s">
        <v>1841</v>
      </c>
      <c r="D278" t="s">
        <v>3470</v>
      </c>
      <c r="E278" t="s">
        <v>3470</v>
      </c>
    </row>
    <row r="279" spans="1:5" ht="15" customHeight="1" x14ac:dyDescent="0.2">
      <c r="A279" s="27" t="s">
        <v>1857</v>
      </c>
      <c r="B279" t="s">
        <v>1856</v>
      </c>
      <c r="C279" t="s">
        <v>1858</v>
      </c>
      <c r="D279" t="s">
        <v>3470</v>
      </c>
      <c r="E279" t="s">
        <v>3470</v>
      </c>
    </row>
    <row r="280" spans="1:5" ht="15" customHeight="1" x14ac:dyDescent="0.2">
      <c r="A280" s="27" t="s">
        <v>1860</v>
      </c>
      <c r="B280" t="s">
        <v>1859</v>
      </c>
      <c r="C280" t="s">
        <v>1861</v>
      </c>
      <c r="D280" t="s">
        <v>3470</v>
      </c>
      <c r="E280" t="s">
        <v>3470</v>
      </c>
    </row>
    <row r="281" spans="1:5" ht="15" customHeight="1" x14ac:dyDescent="0.2">
      <c r="A281" s="27" t="s">
        <v>1865</v>
      </c>
      <c r="B281" t="s">
        <v>1865</v>
      </c>
      <c r="C281" t="s">
        <v>1866</v>
      </c>
      <c r="D281" t="s">
        <v>3470</v>
      </c>
      <c r="E281" t="s">
        <v>3470</v>
      </c>
    </row>
    <row r="282" spans="1:5" ht="15" customHeight="1" x14ac:dyDescent="0.2">
      <c r="A282" s="64" t="s">
        <v>1888</v>
      </c>
      <c r="B282" s="55" t="s">
        <v>1888</v>
      </c>
      <c r="C282" t="s">
        <v>1887</v>
      </c>
      <c r="D282" t="s">
        <v>3470</v>
      </c>
      <c r="E282" t="s">
        <v>3470</v>
      </c>
    </row>
    <row r="283" spans="1:5" ht="15" customHeight="1" x14ac:dyDescent="0.2">
      <c r="A283" s="64" t="s">
        <v>35</v>
      </c>
      <c r="B283" s="55" t="s">
        <v>35</v>
      </c>
      <c r="C283" t="s">
        <v>36</v>
      </c>
      <c r="D283" t="s">
        <v>3470</v>
      </c>
      <c r="E283" t="s">
        <v>3470</v>
      </c>
    </row>
    <row r="284" spans="1:5" ht="15" customHeight="1" x14ac:dyDescent="0.2">
      <c r="A284" s="64" t="s">
        <v>42</v>
      </c>
      <c r="B284" s="55" t="s">
        <v>42</v>
      </c>
      <c r="C284" t="s">
        <v>45</v>
      </c>
      <c r="D284" t="s">
        <v>3470</v>
      </c>
      <c r="E284" t="s">
        <v>3470</v>
      </c>
    </row>
    <row r="285" spans="1:5" ht="15" customHeight="1" x14ac:dyDescent="0.2">
      <c r="A285" s="64" t="s">
        <v>43</v>
      </c>
      <c r="B285" s="55" t="s">
        <v>43</v>
      </c>
      <c r="C285" t="s">
        <v>46</v>
      </c>
      <c r="D285" t="s">
        <v>3470</v>
      </c>
      <c r="E285" t="s">
        <v>3470</v>
      </c>
    </row>
    <row r="286" spans="1:5" ht="15" customHeight="1" x14ac:dyDescent="0.2">
      <c r="A286" s="64" t="s">
        <v>44</v>
      </c>
      <c r="B286" s="55" t="s">
        <v>44</v>
      </c>
      <c r="C286" t="s">
        <v>47</v>
      </c>
      <c r="D286" t="s">
        <v>3470</v>
      </c>
      <c r="E286" t="s">
        <v>3470</v>
      </c>
    </row>
    <row r="287" spans="1:5" ht="15" customHeight="1" x14ac:dyDescent="0.2">
      <c r="A287" s="64" t="s">
        <v>88</v>
      </c>
      <c r="B287" s="55" t="s">
        <v>88</v>
      </c>
      <c r="C287" t="s">
        <v>2382</v>
      </c>
      <c r="D287" t="s">
        <v>3470</v>
      </c>
      <c r="E287" t="s">
        <v>3470</v>
      </c>
    </row>
    <row r="288" spans="1:5" ht="15" customHeight="1" x14ac:dyDescent="0.2">
      <c r="A288" s="64" t="s">
        <v>89</v>
      </c>
      <c r="B288" s="55" t="s">
        <v>89</v>
      </c>
      <c r="C288" t="s">
        <v>2383</v>
      </c>
      <c r="D288" t="s">
        <v>3470</v>
      </c>
      <c r="E288" t="s">
        <v>3470</v>
      </c>
    </row>
    <row r="289" spans="1:5" ht="15" customHeight="1" x14ac:dyDescent="0.2">
      <c r="A289" s="64" t="s">
        <v>90</v>
      </c>
      <c r="B289" s="55" t="s">
        <v>90</v>
      </c>
      <c r="C289" t="s">
        <v>91</v>
      </c>
      <c r="D289" t="s">
        <v>3470</v>
      </c>
      <c r="E289" t="s">
        <v>3470</v>
      </c>
    </row>
    <row r="290" spans="1:5" ht="15" customHeight="1" x14ac:dyDescent="0.2">
      <c r="A290" s="64" t="s">
        <v>92</v>
      </c>
      <c r="B290" s="55" t="s">
        <v>92</v>
      </c>
      <c r="C290" t="s">
        <v>93</v>
      </c>
      <c r="D290" t="s">
        <v>3470</v>
      </c>
      <c r="E290" t="s">
        <v>3470</v>
      </c>
    </row>
    <row r="291" spans="1:5" ht="15" customHeight="1" x14ac:dyDescent="0.2">
      <c r="A291" s="64" t="s">
        <v>94</v>
      </c>
      <c r="B291" s="55" t="s">
        <v>94</v>
      </c>
      <c r="C291" t="s">
        <v>95</v>
      </c>
      <c r="D291" t="s">
        <v>3470</v>
      </c>
      <c r="E291" t="s">
        <v>3470</v>
      </c>
    </row>
    <row r="292" spans="1:5" ht="15" customHeight="1" x14ac:dyDescent="0.2">
      <c r="A292" s="64" t="s">
        <v>96</v>
      </c>
      <c r="B292" s="55" t="s">
        <v>96</v>
      </c>
      <c r="C292" t="s">
        <v>97</v>
      </c>
      <c r="D292" t="s">
        <v>3470</v>
      </c>
      <c r="E292" t="s">
        <v>3470</v>
      </c>
    </row>
    <row r="293" spans="1:5" ht="15" customHeight="1" x14ac:dyDescent="0.2">
      <c r="A293" s="64" t="s">
        <v>98</v>
      </c>
      <c r="B293" s="55" t="s">
        <v>98</v>
      </c>
      <c r="C293" t="s">
        <v>99</v>
      </c>
      <c r="D293" t="s">
        <v>3470</v>
      </c>
      <c r="E293" t="s">
        <v>3470</v>
      </c>
    </row>
    <row r="294" spans="1:5" ht="15" customHeight="1" x14ac:dyDescent="0.2">
      <c r="A294" s="64" t="s">
        <v>100</v>
      </c>
      <c r="B294" s="55" t="s">
        <v>100</v>
      </c>
      <c r="C294" t="s">
        <v>101</v>
      </c>
      <c r="D294" t="s">
        <v>3470</v>
      </c>
      <c r="E294" t="s">
        <v>3470</v>
      </c>
    </row>
    <row r="295" spans="1:5" ht="15" customHeight="1" x14ac:dyDescent="0.2">
      <c r="A295" s="64" t="s">
        <v>102</v>
      </c>
      <c r="B295" s="55" t="s">
        <v>102</v>
      </c>
      <c r="C295" t="s">
        <v>103</v>
      </c>
      <c r="D295" t="s">
        <v>3470</v>
      </c>
      <c r="E295" t="s">
        <v>3470</v>
      </c>
    </row>
    <row r="296" spans="1:5" ht="15" customHeight="1" x14ac:dyDescent="0.2">
      <c r="A296" s="64" t="s">
        <v>104</v>
      </c>
      <c r="B296" s="55" t="s">
        <v>104</v>
      </c>
      <c r="C296" t="s">
        <v>105</v>
      </c>
      <c r="D296" t="s">
        <v>3470</v>
      </c>
      <c r="E296" t="s">
        <v>3470</v>
      </c>
    </row>
    <row r="297" spans="1:5" ht="15" customHeight="1" x14ac:dyDescent="0.2">
      <c r="A297" s="64" t="s">
        <v>106</v>
      </c>
      <c r="B297" s="55" t="s">
        <v>106</v>
      </c>
      <c r="C297" t="s">
        <v>107</v>
      </c>
      <c r="D297" t="s">
        <v>3470</v>
      </c>
      <c r="E297" t="s">
        <v>3470</v>
      </c>
    </row>
    <row r="298" spans="1:5" ht="15" customHeight="1" x14ac:dyDescent="0.2">
      <c r="A298" s="55" t="s">
        <v>110</v>
      </c>
      <c r="B298" s="55" t="s">
        <v>110</v>
      </c>
      <c r="C298" t="s">
        <v>111</v>
      </c>
      <c r="D298" t="s">
        <v>3470</v>
      </c>
      <c r="E298" t="s">
        <v>3470</v>
      </c>
    </row>
    <row r="299" spans="1:5" ht="15" customHeight="1" x14ac:dyDescent="0.2">
      <c r="A299" s="55" t="s">
        <v>130</v>
      </c>
      <c r="B299" s="55" t="s">
        <v>131</v>
      </c>
      <c r="C299" t="s">
        <v>132</v>
      </c>
      <c r="D299" t="s">
        <v>3470</v>
      </c>
      <c r="E299" t="s">
        <v>3470</v>
      </c>
    </row>
    <row r="300" spans="1:5" ht="15" customHeight="1" x14ac:dyDescent="0.2">
      <c r="A300" s="55" t="s">
        <v>165</v>
      </c>
      <c r="B300" s="55" t="s">
        <v>166</v>
      </c>
      <c r="C300" t="s">
        <v>167</v>
      </c>
      <c r="D300" t="s">
        <v>3470</v>
      </c>
      <c r="E300" t="s">
        <v>3470</v>
      </c>
    </row>
    <row r="301" spans="1:5" ht="15" customHeight="1" x14ac:dyDescent="0.2">
      <c r="A301" s="55" t="s">
        <v>174</v>
      </c>
      <c r="B301" s="55" t="s">
        <v>175</v>
      </c>
      <c r="C301" t="s">
        <v>176</v>
      </c>
      <c r="D301" t="s">
        <v>3470</v>
      </c>
      <c r="E301" t="s">
        <v>3470</v>
      </c>
    </row>
    <row r="302" spans="1:5" ht="15" customHeight="1" x14ac:dyDescent="0.2">
      <c r="A302" t="s">
        <v>2381</v>
      </c>
      <c r="B302" t="s">
        <v>2381</v>
      </c>
      <c r="C302" t="s">
        <v>2380</v>
      </c>
      <c r="D302" t="s">
        <v>3470</v>
      </c>
      <c r="E302" t="s">
        <v>3470</v>
      </c>
    </row>
    <row r="303" spans="1:5" ht="15" customHeight="1" x14ac:dyDescent="0.2">
      <c r="A303" t="s">
        <v>2379</v>
      </c>
      <c r="B303" t="s">
        <v>2379</v>
      </c>
      <c r="C303" t="s">
        <v>2378</v>
      </c>
      <c r="D303" t="s">
        <v>3470</v>
      </c>
      <c r="E303" t="s">
        <v>3470</v>
      </c>
    </row>
    <row r="304" spans="1:5" ht="15" customHeight="1" x14ac:dyDescent="0.2">
      <c r="A304" t="s">
        <v>2377</v>
      </c>
      <c r="B304" t="s">
        <v>2377</v>
      </c>
      <c r="C304" t="s">
        <v>2376</v>
      </c>
      <c r="D304" t="s">
        <v>3470</v>
      </c>
      <c r="E304" t="s">
        <v>3470</v>
      </c>
    </row>
    <row r="305" spans="1:5" ht="15" customHeight="1" x14ac:dyDescent="0.2">
      <c r="A305" t="s">
        <v>106</v>
      </c>
      <c r="B305" t="s">
        <v>106</v>
      </c>
      <c r="C305" t="s">
        <v>2375</v>
      </c>
      <c r="D305" t="s">
        <v>3470</v>
      </c>
      <c r="E305" t="s">
        <v>3470</v>
      </c>
    </row>
    <row r="306" spans="1:5" ht="15" customHeight="1" x14ac:dyDescent="0.2">
      <c r="A306" t="s">
        <v>104</v>
      </c>
      <c r="B306" t="s">
        <v>104</v>
      </c>
      <c r="C306" t="s">
        <v>2374</v>
      </c>
      <c r="D306" t="s">
        <v>3470</v>
      </c>
      <c r="E306" t="s">
        <v>3470</v>
      </c>
    </row>
    <row r="307" spans="1:5" ht="15" customHeight="1" x14ac:dyDescent="0.2">
      <c r="A307" t="s">
        <v>2373</v>
      </c>
      <c r="B307" t="s">
        <v>2373</v>
      </c>
      <c r="C307" t="s">
        <v>2372</v>
      </c>
      <c r="D307" t="s">
        <v>3470</v>
      </c>
      <c r="E307" t="s">
        <v>3470</v>
      </c>
    </row>
    <row r="308" spans="1:5" ht="15" customHeight="1" x14ac:dyDescent="0.2">
      <c r="A308" t="s">
        <v>2371</v>
      </c>
      <c r="B308" t="s">
        <v>2371</v>
      </c>
      <c r="C308" t="s">
        <v>2370</v>
      </c>
      <c r="D308" t="s">
        <v>3470</v>
      </c>
      <c r="E308" t="s">
        <v>3470</v>
      </c>
    </row>
    <row r="309" spans="1:5" ht="15" customHeight="1" x14ac:dyDescent="0.2">
      <c r="A309" t="s">
        <v>2369</v>
      </c>
      <c r="B309" t="s">
        <v>2369</v>
      </c>
      <c r="C309" t="s">
        <v>2366</v>
      </c>
      <c r="D309" t="s">
        <v>3470</v>
      </c>
      <c r="E309" t="s">
        <v>3470</v>
      </c>
    </row>
    <row r="310" spans="1:5" ht="15" customHeight="1" x14ac:dyDescent="0.2">
      <c r="A310" t="s">
        <v>2368</v>
      </c>
      <c r="B310" t="s">
        <v>2368</v>
      </c>
      <c r="C310" t="s">
        <v>2366</v>
      </c>
      <c r="D310" t="s">
        <v>3470</v>
      </c>
      <c r="E310" t="s">
        <v>3470</v>
      </c>
    </row>
    <row r="311" spans="1:5" ht="15" customHeight="1" x14ac:dyDescent="0.2">
      <c r="A311" t="s">
        <v>2367</v>
      </c>
      <c r="B311" t="s">
        <v>2367</v>
      </c>
      <c r="C311" t="s">
        <v>2366</v>
      </c>
      <c r="D311" t="s">
        <v>3470</v>
      </c>
      <c r="E311" t="s">
        <v>3470</v>
      </c>
    </row>
    <row r="312" spans="1:5" ht="15" customHeight="1" x14ac:dyDescent="0.2">
      <c r="A312" t="s">
        <v>2365</v>
      </c>
      <c r="B312" t="s">
        <v>2365</v>
      </c>
      <c r="C312" t="s">
        <v>2362</v>
      </c>
      <c r="D312" t="s">
        <v>3470</v>
      </c>
      <c r="E312" t="s">
        <v>3470</v>
      </c>
    </row>
    <row r="313" spans="1:5" ht="15" customHeight="1" x14ac:dyDescent="0.2">
      <c r="A313" t="s">
        <v>2364</v>
      </c>
      <c r="B313" t="s">
        <v>2364</v>
      </c>
      <c r="C313" t="s">
        <v>2362</v>
      </c>
      <c r="D313" t="s">
        <v>3470</v>
      </c>
      <c r="E313" t="s">
        <v>3470</v>
      </c>
    </row>
    <row r="314" spans="1:5" ht="15" customHeight="1" x14ac:dyDescent="0.2">
      <c r="A314" t="s">
        <v>2363</v>
      </c>
      <c r="B314" t="s">
        <v>2363</v>
      </c>
      <c r="C314" t="s">
        <v>2362</v>
      </c>
      <c r="D314" t="s">
        <v>3470</v>
      </c>
      <c r="E314" t="s">
        <v>3470</v>
      </c>
    </row>
    <row r="315" spans="1:5" ht="15" customHeight="1" x14ac:dyDescent="0.2">
      <c r="A315" t="s">
        <v>2361</v>
      </c>
      <c r="B315" t="s">
        <v>2361</v>
      </c>
      <c r="C315" t="s">
        <v>2360</v>
      </c>
      <c r="D315" t="s">
        <v>2359</v>
      </c>
      <c r="E315" t="s">
        <v>3470</v>
      </c>
    </row>
    <row r="316" spans="1:5" ht="15" customHeight="1" x14ac:dyDescent="0.2">
      <c r="A316" t="s">
        <v>2358</v>
      </c>
      <c r="B316" t="s">
        <v>2358</v>
      </c>
      <c r="C316" t="s">
        <v>2357</v>
      </c>
      <c r="D316" t="s">
        <v>296</v>
      </c>
      <c r="E316" t="s">
        <v>3470</v>
      </c>
    </row>
    <row r="317" spans="1:5" ht="15" customHeight="1" x14ac:dyDescent="0.2">
      <c r="A317" t="s">
        <v>2356</v>
      </c>
      <c r="B317" t="s">
        <v>2356</v>
      </c>
      <c r="C317" t="s">
        <v>2355</v>
      </c>
      <c r="D317" t="s">
        <v>3470</v>
      </c>
      <c r="E317" t="s">
        <v>3470</v>
      </c>
    </row>
    <row r="318" spans="1:5" ht="15" customHeight="1" x14ac:dyDescent="0.2">
      <c r="A318" t="s">
        <v>317</v>
      </c>
      <c r="B318" t="s">
        <v>317</v>
      </c>
      <c r="C318" t="s">
        <v>316</v>
      </c>
      <c r="D318" t="s">
        <v>3470</v>
      </c>
      <c r="E318" t="s">
        <v>3470</v>
      </c>
    </row>
    <row r="319" spans="1:5" ht="15" customHeight="1" x14ac:dyDescent="0.2">
      <c r="A319" t="s">
        <v>315</v>
      </c>
      <c r="B319" t="s">
        <v>315</v>
      </c>
      <c r="C319" t="s">
        <v>314</v>
      </c>
      <c r="D319" t="s">
        <v>296</v>
      </c>
      <c r="E319" t="s">
        <v>3470</v>
      </c>
    </row>
    <row r="320" spans="1:5" ht="15" customHeight="1" x14ac:dyDescent="0.2">
      <c r="A320" t="s">
        <v>313</v>
      </c>
      <c r="B320" t="s">
        <v>313</v>
      </c>
      <c r="C320" t="s">
        <v>312</v>
      </c>
      <c r="D320" t="s">
        <v>3470</v>
      </c>
      <c r="E320" t="s">
        <v>3470</v>
      </c>
    </row>
    <row r="321" spans="1:5" ht="15" customHeight="1" x14ac:dyDescent="0.2">
      <c r="A321" t="s">
        <v>311</v>
      </c>
      <c r="B321" t="s">
        <v>311</v>
      </c>
      <c r="C321" t="s">
        <v>310</v>
      </c>
      <c r="D321" t="s">
        <v>3470</v>
      </c>
      <c r="E321" t="s">
        <v>3470</v>
      </c>
    </row>
    <row r="322" spans="1:5" ht="15" customHeight="1" x14ac:dyDescent="0.2">
      <c r="A322" t="s">
        <v>309</v>
      </c>
      <c r="B322" t="s">
        <v>309</v>
      </c>
      <c r="C322" t="s">
        <v>308</v>
      </c>
      <c r="D322" t="s">
        <v>3470</v>
      </c>
      <c r="E322" t="s">
        <v>3470</v>
      </c>
    </row>
    <row r="323" spans="1:5" ht="15" customHeight="1" x14ac:dyDescent="0.2">
      <c r="A323" t="s">
        <v>307</v>
      </c>
      <c r="B323" t="s">
        <v>307</v>
      </c>
      <c r="C323" t="s">
        <v>306</v>
      </c>
      <c r="D323" t="s">
        <v>3470</v>
      </c>
      <c r="E323" t="s">
        <v>3470</v>
      </c>
    </row>
    <row r="324" spans="1:5" ht="15" customHeight="1" x14ac:dyDescent="0.2">
      <c r="A324" t="s">
        <v>305</v>
      </c>
      <c r="B324" t="s">
        <v>305</v>
      </c>
      <c r="C324" t="s">
        <v>2384</v>
      </c>
      <c r="D324" t="s">
        <v>3470</v>
      </c>
      <c r="E324" t="s">
        <v>3470</v>
      </c>
    </row>
    <row r="325" spans="1:5" ht="15" customHeight="1" x14ac:dyDescent="0.2">
      <c r="A325" t="s">
        <v>304</v>
      </c>
      <c r="B325" t="s">
        <v>304</v>
      </c>
      <c r="C325" t="s">
        <v>303</v>
      </c>
      <c r="D325" t="s">
        <v>296</v>
      </c>
      <c r="E325" t="s">
        <v>3470</v>
      </c>
    </row>
    <row r="326" spans="1:5" ht="15" customHeight="1" x14ac:dyDescent="0.2">
      <c r="A326" t="s">
        <v>302</v>
      </c>
      <c r="B326" t="s">
        <v>302</v>
      </c>
      <c r="C326" t="s">
        <v>301</v>
      </c>
      <c r="D326" t="s">
        <v>296</v>
      </c>
      <c r="E326" t="s">
        <v>3470</v>
      </c>
    </row>
    <row r="327" spans="1:5" ht="15" customHeight="1" x14ac:dyDescent="0.2">
      <c r="A327" t="s">
        <v>300</v>
      </c>
      <c r="B327" t="s">
        <v>300</v>
      </c>
      <c r="C327" t="s">
        <v>299</v>
      </c>
      <c r="D327" t="s">
        <v>296</v>
      </c>
      <c r="E327" t="s">
        <v>3470</v>
      </c>
    </row>
    <row r="328" spans="1:5" ht="15" customHeight="1" x14ac:dyDescent="0.2">
      <c r="A328" t="s">
        <v>298</v>
      </c>
      <c r="B328" t="s">
        <v>298</v>
      </c>
      <c r="C328" t="s">
        <v>297</v>
      </c>
      <c r="D328" t="s">
        <v>296</v>
      </c>
      <c r="E328" t="s">
        <v>3470</v>
      </c>
    </row>
    <row r="329" spans="1:5" ht="15" customHeight="1" x14ac:dyDescent="0.2">
      <c r="A329" t="s">
        <v>295</v>
      </c>
      <c r="B329" t="s">
        <v>295</v>
      </c>
      <c r="C329" t="s">
        <v>2682</v>
      </c>
      <c r="D329" t="s">
        <v>3470</v>
      </c>
      <c r="E329" t="s">
        <v>3470</v>
      </c>
    </row>
    <row r="330" spans="1:5" ht="15" customHeight="1" x14ac:dyDescent="0.2">
      <c r="A330" t="s">
        <v>294</v>
      </c>
      <c r="B330" t="s">
        <v>294</v>
      </c>
      <c r="C330" t="s">
        <v>293</v>
      </c>
      <c r="D330" t="s">
        <v>3470</v>
      </c>
      <c r="E330" t="s">
        <v>3470</v>
      </c>
    </row>
    <row r="331" spans="1:5" ht="15" customHeight="1" x14ac:dyDescent="0.2">
      <c r="A331" t="s">
        <v>292</v>
      </c>
      <c r="B331" t="s">
        <v>292</v>
      </c>
      <c r="C331" t="s">
        <v>291</v>
      </c>
      <c r="D331" t="s">
        <v>3470</v>
      </c>
      <c r="E331" t="s">
        <v>3470</v>
      </c>
    </row>
    <row r="332" spans="1:5" ht="15" customHeight="1" x14ac:dyDescent="0.2">
      <c r="A332" t="s">
        <v>290</v>
      </c>
      <c r="B332" t="s">
        <v>290</v>
      </c>
      <c r="C332" t="s">
        <v>289</v>
      </c>
      <c r="D332" t="s">
        <v>3470</v>
      </c>
      <c r="E332" t="s">
        <v>3470</v>
      </c>
    </row>
    <row r="333" spans="1:5" ht="15" customHeight="1" x14ac:dyDescent="0.2">
      <c r="A333" t="s">
        <v>288</v>
      </c>
      <c r="B333" t="s">
        <v>288</v>
      </c>
      <c r="C333" t="s">
        <v>287</v>
      </c>
      <c r="D333" t="s">
        <v>3470</v>
      </c>
      <c r="E333" t="s">
        <v>3470</v>
      </c>
    </row>
    <row r="334" spans="1:5" ht="15" customHeight="1" x14ac:dyDescent="0.2">
      <c r="A334" t="s">
        <v>286</v>
      </c>
      <c r="B334" t="s">
        <v>286</v>
      </c>
      <c r="C334" t="s">
        <v>285</v>
      </c>
      <c r="D334" t="s">
        <v>3470</v>
      </c>
      <c r="E334" t="s">
        <v>3470</v>
      </c>
    </row>
    <row r="335" spans="1:5" ht="15" customHeight="1" x14ac:dyDescent="0.2">
      <c r="A335" t="s">
        <v>284</v>
      </c>
      <c r="B335" t="s">
        <v>284</v>
      </c>
      <c r="C335" t="s">
        <v>283</v>
      </c>
      <c r="D335" t="s">
        <v>3470</v>
      </c>
      <c r="E335" t="s">
        <v>3470</v>
      </c>
    </row>
    <row r="336" spans="1:5" ht="15" customHeight="1" x14ac:dyDescent="0.2">
      <c r="A336" t="s">
        <v>282</v>
      </c>
      <c r="B336" t="s">
        <v>282</v>
      </c>
      <c r="C336" t="s">
        <v>281</v>
      </c>
      <c r="D336" t="s">
        <v>3470</v>
      </c>
      <c r="E336" t="s">
        <v>3470</v>
      </c>
    </row>
    <row r="337" spans="1:5" ht="15" customHeight="1" x14ac:dyDescent="0.2">
      <c r="A337" t="s">
        <v>919</v>
      </c>
      <c r="B337" t="s">
        <v>920</v>
      </c>
      <c r="C337" t="s">
        <v>2385</v>
      </c>
      <c r="D337" t="s">
        <v>3470</v>
      </c>
      <c r="E337" t="s">
        <v>3470</v>
      </c>
    </row>
    <row r="338" spans="1:5" ht="15" customHeight="1" x14ac:dyDescent="0.2">
      <c r="A338" t="s">
        <v>280</v>
      </c>
      <c r="B338" t="s">
        <v>280</v>
      </c>
      <c r="C338" t="s">
        <v>279</v>
      </c>
      <c r="D338" t="s">
        <v>3470</v>
      </c>
      <c r="E338" t="s">
        <v>3470</v>
      </c>
    </row>
    <row r="339" spans="1:5" ht="15" customHeight="1" x14ac:dyDescent="0.2">
      <c r="A339" t="s">
        <v>278</v>
      </c>
      <c r="B339" t="s">
        <v>278</v>
      </c>
      <c r="C339" t="s">
        <v>277</v>
      </c>
      <c r="D339" t="s">
        <v>3470</v>
      </c>
      <c r="E339" t="s">
        <v>3470</v>
      </c>
    </row>
    <row r="340" spans="1:5" ht="15" customHeight="1" x14ac:dyDescent="0.2">
      <c r="A340" t="s">
        <v>276</v>
      </c>
      <c r="B340" t="s">
        <v>276</v>
      </c>
      <c r="C340" t="s">
        <v>275</v>
      </c>
      <c r="D340" t="s">
        <v>3470</v>
      </c>
      <c r="E340" t="s">
        <v>3470</v>
      </c>
    </row>
    <row r="341" spans="1:5" ht="15" customHeight="1" x14ac:dyDescent="0.2">
      <c r="A341" t="s">
        <v>274</v>
      </c>
      <c r="B341" t="s">
        <v>274</v>
      </c>
      <c r="C341" t="s">
        <v>273</v>
      </c>
      <c r="D341" t="s">
        <v>3470</v>
      </c>
      <c r="E341" t="s">
        <v>3470</v>
      </c>
    </row>
    <row r="342" spans="1:5" ht="15" customHeight="1" x14ac:dyDescent="0.2">
      <c r="A342" t="s">
        <v>272</v>
      </c>
      <c r="B342" t="s">
        <v>272</v>
      </c>
      <c r="C342" t="s">
        <v>271</v>
      </c>
      <c r="D342" t="s">
        <v>3470</v>
      </c>
      <c r="E342" t="s">
        <v>3470</v>
      </c>
    </row>
    <row r="343" spans="1:5" ht="15" customHeight="1" x14ac:dyDescent="0.2">
      <c r="A343" t="s">
        <v>270</v>
      </c>
      <c r="B343" t="s">
        <v>270</v>
      </c>
      <c r="C343" t="s">
        <v>269</v>
      </c>
      <c r="D343" t="s">
        <v>3470</v>
      </c>
      <c r="E343" t="s">
        <v>3470</v>
      </c>
    </row>
    <row r="344" spans="1:5" ht="15" customHeight="1" x14ac:dyDescent="0.2">
      <c r="A344" t="s">
        <v>268</v>
      </c>
      <c r="B344" t="s">
        <v>268</v>
      </c>
      <c r="C344" t="s">
        <v>267</v>
      </c>
      <c r="D344" t="s">
        <v>3470</v>
      </c>
      <c r="E344" t="s">
        <v>3470</v>
      </c>
    </row>
    <row r="345" spans="1:5" ht="15" customHeight="1" x14ac:dyDescent="0.2">
      <c r="A345" t="s">
        <v>266</v>
      </c>
      <c r="B345" t="s">
        <v>266</v>
      </c>
      <c r="C345" t="s">
        <v>265</v>
      </c>
      <c r="D345" t="s">
        <v>3470</v>
      </c>
      <c r="E345" t="s">
        <v>3470</v>
      </c>
    </row>
    <row r="346" spans="1:5" ht="15" customHeight="1" x14ac:dyDescent="0.2">
      <c r="A346" t="s">
        <v>264</v>
      </c>
      <c r="B346" t="s">
        <v>264</v>
      </c>
      <c r="C346" t="s">
        <v>263</v>
      </c>
      <c r="D346" t="s">
        <v>3470</v>
      </c>
      <c r="E346" t="s">
        <v>3470</v>
      </c>
    </row>
    <row r="347" spans="1:5" ht="15" customHeight="1" x14ac:dyDescent="0.2">
      <c r="A347" s="55" t="s">
        <v>2712</v>
      </c>
      <c r="B347" s="55" t="s">
        <v>2712</v>
      </c>
      <c r="C347" t="s">
        <v>2713</v>
      </c>
      <c r="D347" t="s">
        <v>3470</v>
      </c>
      <c r="E347" t="s">
        <v>3470</v>
      </c>
    </row>
    <row r="348" spans="1:5" ht="15" customHeight="1" x14ac:dyDescent="0.2">
      <c r="A348" s="55" t="s">
        <v>657</v>
      </c>
      <c r="B348" s="55" t="s">
        <v>658</v>
      </c>
      <c r="C348" t="s">
        <v>659</v>
      </c>
      <c r="D348" t="s">
        <v>709</v>
      </c>
      <c r="E348" t="s">
        <v>3470</v>
      </c>
    </row>
    <row r="349" spans="1:5" ht="15" customHeight="1" x14ac:dyDescent="0.2">
      <c r="A349" s="55" t="s">
        <v>701</v>
      </c>
      <c r="B349" s="55" t="s">
        <v>701</v>
      </c>
      <c r="C349" t="s">
        <v>704</v>
      </c>
      <c r="D349" t="s">
        <v>715</v>
      </c>
      <c r="E349" t="s">
        <v>3470</v>
      </c>
    </row>
    <row r="350" spans="1:5" ht="15" customHeight="1" x14ac:dyDescent="0.2">
      <c r="A350" s="55" t="s">
        <v>702</v>
      </c>
      <c r="B350" s="55" t="s">
        <v>702</v>
      </c>
      <c r="C350" t="s">
        <v>705</v>
      </c>
      <c r="D350" t="s">
        <v>3470</v>
      </c>
      <c r="E350" t="s">
        <v>3470</v>
      </c>
    </row>
    <row r="351" spans="1:5" ht="15" customHeight="1" x14ac:dyDescent="0.2">
      <c r="A351" s="55" t="s">
        <v>703</v>
      </c>
      <c r="B351" s="55" t="s">
        <v>703</v>
      </c>
      <c r="C351" t="s">
        <v>706</v>
      </c>
      <c r="D351" t="s">
        <v>3470</v>
      </c>
      <c r="E351" t="s">
        <v>3470</v>
      </c>
    </row>
    <row r="352" spans="1:5" ht="15" customHeight="1" x14ac:dyDescent="0.2">
      <c r="A352" s="55" t="s">
        <v>707</v>
      </c>
      <c r="B352" s="55" t="s">
        <v>707</v>
      </c>
      <c r="C352" t="s">
        <v>708</v>
      </c>
      <c r="D352" t="s">
        <v>3470</v>
      </c>
      <c r="E352" t="s">
        <v>3470</v>
      </c>
    </row>
    <row r="353" spans="1:5" ht="15" customHeight="1" x14ac:dyDescent="0.2">
      <c r="A353" s="55" t="s">
        <v>713</v>
      </c>
      <c r="B353" s="55" t="s">
        <v>713</v>
      </c>
      <c r="C353" t="s">
        <v>714</v>
      </c>
      <c r="D353" t="s">
        <v>3470</v>
      </c>
      <c r="E353" t="s">
        <v>3470</v>
      </c>
    </row>
    <row r="354" spans="1:5" ht="15" customHeight="1" x14ac:dyDescent="0.2">
      <c r="A354" s="55" t="s">
        <v>793</v>
      </c>
      <c r="B354" s="55" t="s">
        <v>794</v>
      </c>
      <c r="C354" t="s">
        <v>795</v>
      </c>
      <c r="D354" t="s">
        <v>3470</v>
      </c>
      <c r="E354" t="s">
        <v>3470</v>
      </c>
    </row>
    <row r="355" spans="1:5" ht="15" customHeight="1" x14ac:dyDescent="0.2">
      <c r="A355" s="55" t="s">
        <v>812</v>
      </c>
      <c r="B355" s="55" t="s">
        <v>812</v>
      </c>
      <c r="C355" t="s">
        <v>813</v>
      </c>
      <c r="D355" t="s">
        <v>3470</v>
      </c>
      <c r="E355" t="s">
        <v>3470</v>
      </c>
    </row>
    <row r="356" spans="1:5" ht="15" customHeight="1" x14ac:dyDescent="0.2">
      <c r="A356" s="55" t="s">
        <v>3040</v>
      </c>
      <c r="B356" s="55" t="s">
        <v>3041</v>
      </c>
      <c r="C356" t="s">
        <v>3042</v>
      </c>
      <c r="D356" t="s">
        <v>3470</v>
      </c>
      <c r="E356" t="s">
        <v>3470</v>
      </c>
    </row>
    <row r="357" spans="1:5" ht="15" customHeight="1" x14ac:dyDescent="0.2">
      <c r="A357" s="55" t="s">
        <v>828</v>
      </c>
      <c r="B357" s="55" t="s">
        <v>828</v>
      </c>
      <c r="C357" t="s">
        <v>830</v>
      </c>
      <c r="D357" t="s">
        <v>3470</v>
      </c>
      <c r="E357" t="s">
        <v>3470</v>
      </c>
    </row>
    <row r="358" spans="1:5" ht="15" customHeight="1" x14ac:dyDescent="0.2">
      <c r="A358" s="55" t="s">
        <v>829</v>
      </c>
      <c r="B358" s="55" t="s">
        <v>829</v>
      </c>
      <c r="C358" t="s">
        <v>831</v>
      </c>
      <c r="D358" t="s">
        <v>3470</v>
      </c>
      <c r="E358" t="s">
        <v>3470</v>
      </c>
    </row>
    <row r="359" spans="1:5" ht="15" customHeight="1" x14ac:dyDescent="0.2">
      <c r="A359" s="55" t="s">
        <v>832</v>
      </c>
      <c r="B359" s="55" t="s">
        <v>832</v>
      </c>
      <c r="C359" t="s">
        <v>833</v>
      </c>
      <c r="D359" t="s">
        <v>3470</v>
      </c>
      <c r="E359" t="s">
        <v>3470</v>
      </c>
    </row>
    <row r="360" spans="1:5" ht="15" customHeight="1" x14ac:dyDescent="0.2">
      <c r="A360" s="55" t="s">
        <v>3056</v>
      </c>
      <c r="B360" s="55" t="s">
        <v>3056</v>
      </c>
      <c r="C360" t="s">
        <v>3057</v>
      </c>
      <c r="D360" t="s">
        <v>3470</v>
      </c>
      <c r="E360" t="s">
        <v>3470</v>
      </c>
    </row>
    <row r="361" spans="1:5" ht="15" customHeight="1" x14ac:dyDescent="0.2">
      <c r="A361" s="55" t="s">
        <v>3058</v>
      </c>
      <c r="B361" s="55" t="s">
        <v>3058</v>
      </c>
      <c r="C361" t="s">
        <v>3059</v>
      </c>
      <c r="D361" t="s">
        <v>3470</v>
      </c>
      <c r="E361" t="s">
        <v>3470</v>
      </c>
    </row>
    <row r="362" spans="1:5" ht="15" customHeight="1" x14ac:dyDescent="0.2">
      <c r="A362" s="55" t="s">
        <v>3060</v>
      </c>
      <c r="B362" s="55" t="s">
        <v>3060</v>
      </c>
      <c r="C362" t="s">
        <v>3061</v>
      </c>
      <c r="D362" t="s">
        <v>3470</v>
      </c>
      <c r="E362" t="s">
        <v>3470</v>
      </c>
    </row>
    <row r="363" spans="1:5" ht="15" customHeight="1" x14ac:dyDescent="0.2">
      <c r="A363" s="55" t="s">
        <v>3062</v>
      </c>
      <c r="B363" s="55" t="s">
        <v>3062</v>
      </c>
      <c r="C363" t="s">
        <v>3063</v>
      </c>
      <c r="D363" t="s">
        <v>3470</v>
      </c>
      <c r="E363" t="s">
        <v>3470</v>
      </c>
    </row>
    <row r="364" spans="1:5" ht="15" customHeight="1" x14ac:dyDescent="0.2">
      <c r="A364" s="55" t="s">
        <v>900</v>
      </c>
      <c r="B364" s="55" t="s">
        <v>901</v>
      </c>
      <c r="C364" t="s">
        <v>902</v>
      </c>
      <c r="D364" t="s">
        <v>3470</v>
      </c>
      <c r="E364" t="s">
        <v>3470</v>
      </c>
    </row>
    <row r="365" spans="1:5" ht="15" customHeight="1" x14ac:dyDescent="0.2">
      <c r="A365" s="55" t="s">
        <v>3043</v>
      </c>
      <c r="B365" s="55" t="s">
        <v>3043</v>
      </c>
      <c r="C365" t="s">
        <v>3044</v>
      </c>
      <c r="D365" t="s">
        <v>3470</v>
      </c>
      <c r="E365" t="s">
        <v>3470</v>
      </c>
    </row>
    <row r="366" spans="1:5" ht="15" customHeight="1" x14ac:dyDescent="0.2">
      <c r="A366" s="55" t="s">
        <v>3100</v>
      </c>
      <c r="B366" s="55" t="s">
        <v>3100</v>
      </c>
      <c r="C366" t="s">
        <v>3101</v>
      </c>
      <c r="D366" t="s">
        <v>3470</v>
      </c>
      <c r="E366" t="s">
        <v>3470</v>
      </c>
    </row>
    <row r="367" spans="1:5" ht="15" customHeight="1" x14ac:dyDescent="0.2">
      <c r="A367" s="55" t="s">
        <v>3107</v>
      </c>
      <c r="B367" s="55" t="s">
        <v>3108</v>
      </c>
      <c r="C367" t="s">
        <v>3109</v>
      </c>
      <c r="D367" t="s">
        <v>3470</v>
      </c>
      <c r="E367" t="s">
        <v>3470</v>
      </c>
    </row>
    <row r="368" spans="1:5" ht="15" customHeight="1" x14ac:dyDescent="0.2">
      <c r="A368" s="55" t="s">
        <v>3128</v>
      </c>
      <c r="B368" s="55" t="s">
        <v>3128</v>
      </c>
      <c r="C368" t="s">
        <v>3129</v>
      </c>
      <c r="D368" t="s">
        <v>3470</v>
      </c>
      <c r="E368" t="s">
        <v>3470</v>
      </c>
    </row>
    <row r="369" spans="1:5" ht="15" customHeight="1" x14ac:dyDescent="0.2">
      <c r="A369" s="55" t="s">
        <v>1412</v>
      </c>
      <c r="B369" s="55" t="s">
        <v>1412</v>
      </c>
      <c r="C369" t="s">
        <v>1413</v>
      </c>
      <c r="D369" t="s">
        <v>3470</v>
      </c>
      <c r="E369" t="s">
        <v>3470</v>
      </c>
    </row>
    <row r="370" spans="1:5" ht="15" customHeight="1" x14ac:dyDescent="0.2">
      <c r="A370" s="55" t="s">
        <v>1417</v>
      </c>
      <c r="B370" s="55" t="s">
        <v>1418</v>
      </c>
      <c r="C370" t="s">
        <v>1419</v>
      </c>
      <c r="D370" t="s">
        <v>3470</v>
      </c>
      <c r="E370" t="s">
        <v>3470</v>
      </c>
    </row>
    <row r="371" spans="1:5" ht="15" customHeight="1" x14ac:dyDescent="0.2">
      <c r="A371" s="55" t="s">
        <v>2983</v>
      </c>
      <c r="B371" s="55" t="s">
        <v>2984</v>
      </c>
      <c r="C371" t="s">
        <v>2985</v>
      </c>
      <c r="D371" t="s">
        <v>3470</v>
      </c>
      <c r="E371" t="s">
        <v>3470</v>
      </c>
    </row>
    <row r="372" spans="1:5" ht="15" customHeight="1" x14ac:dyDescent="0.2">
      <c r="A372" s="27" t="s">
        <v>1726</v>
      </c>
      <c r="B372" t="s">
        <v>1726</v>
      </c>
      <c r="C372" t="s">
        <v>1727</v>
      </c>
      <c r="D372" t="s">
        <v>3470</v>
      </c>
      <c r="E372" t="s">
        <v>3470</v>
      </c>
    </row>
    <row r="373" spans="1:5" ht="15" customHeight="1" x14ac:dyDescent="0.2">
      <c r="A373" s="27" t="s">
        <v>1422</v>
      </c>
      <c r="B373" t="s">
        <v>1423</v>
      </c>
      <c r="C373" t="s">
        <v>1431</v>
      </c>
      <c r="D373" t="s">
        <v>1421</v>
      </c>
      <c r="E373" t="s">
        <v>1436</v>
      </c>
    </row>
    <row r="374" spans="1:5" ht="15" customHeight="1" x14ac:dyDescent="0.2">
      <c r="A374" s="27" t="s">
        <v>1424</v>
      </c>
      <c r="B374" t="s">
        <v>1425</v>
      </c>
      <c r="C374" t="s">
        <v>1432</v>
      </c>
      <c r="D374" t="s">
        <v>1421</v>
      </c>
      <c r="E374" t="s">
        <v>1436</v>
      </c>
    </row>
    <row r="375" spans="1:5" ht="15" customHeight="1" x14ac:dyDescent="0.2">
      <c r="A375" s="27" t="s">
        <v>1426</v>
      </c>
      <c r="B375" t="s">
        <v>1426</v>
      </c>
      <c r="C375" t="s">
        <v>1433</v>
      </c>
      <c r="D375" t="s">
        <v>1421</v>
      </c>
      <c r="E375" t="s">
        <v>1436</v>
      </c>
    </row>
    <row r="376" spans="1:5" ht="15" customHeight="1" x14ac:dyDescent="0.2">
      <c r="A376" s="27" t="s">
        <v>1427</v>
      </c>
      <c r="B376" t="s">
        <v>1428</v>
      </c>
      <c r="C376" t="s">
        <v>1434</v>
      </c>
      <c r="D376" t="s">
        <v>1421</v>
      </c>
      <c r="E376" t="s">
        <v>1436</v>
      </c>
    </row>
    <row r="377" spans="1:5" ht="15" customHeight="1" x14ac:dyDescent="0.2">
      <c r="A377" s="27">
        <v>54135</v>
      </c>
      <c r="B377">
        <v>54135</v>
      </c>
      <c r="C377" t="s">
        <v>1435</v>
      </c>
      <c r="D377" t="s">
        <v>1430</v>
      </c>
      <c r="E377" t="s">
        <v>1438</v>
      </c>
    </row>
    <row r="378" spans="1:5" ht="15" customHeight="1" x14ac:dyDescent="0.2">
      <c r="A378" s="27" t="s">
        <v>1955</v>
      </c>
      <c r="B378" t="s">
        <v>1955</v>
      </c>
      <c r="C378" t="s">
        <v>1956</v>
      </c>
      <c r="D378" t="s">
        <v>3486</v>
      </c>
      <c r="E378" t="s">
        <v>3487</v>
      </c>
    </row>
    <row r="379" spans="1:5" ht="15" customHeight="1" x14ac:dyDescent="0.2">
      <c r="A379" s="27" t="s">
        <v>2694</v>
      </c>
      <c r="B379" t="s">
        <v>2694</v>
      </c>
      <c r="C379" t="s">
        <v>2695</v>
      </c>
      <c r="D379" t="s">
        <v>3486</v>
      </c>
      <c r="E379" t="s">
        <v>3487</v>
      </c>
    </row>
    <row r="380" spans="1:5" ht="15" customHeight="1" x14ac:dyDescent="0.2">
      <c r="A380" s="27" t="s">
        <v>51</v>
      </c>
      <c r="B380" t="s">
        <v>52</v>
      </c>
      <c r="C380" t="s">
        <v>53</v>
      </c>
      <c r="D380" t="s">
        <v>3486</v>
      </c>
      <c r="E380" t="s">
        <v>3487</v>
      </c>
    </row>
    <row r="381" spans="1:5" ht="15" customHeight="1" x14ac:dyDescent="0.2">
      <c r="A381" s="27" t="s">
        <v>1957</v>
      </c>
      <c r="B381" t="s">
        <v>1957</v>
      </c>
      <c r="C381" t="s">
        <v>1958</v>
      </c>
      <c r="D381" t="s">
        <v>3486</v>
      </c>
      <c r="E381" t="s">
        <v>3487</v>
      </c>
    </row>
    <row r="382" spans="1:5" ht="15" customHeight="1" x14ac:dyDescent="0.2">
      <c r="A382" s="27" t="s">
        <v>1961</v>
      </c>
      <c r="B382" t="s">
        <v>1961</v>
      </c>
      <c r="C382" t="s">
        <v>1962</v>
      </c>
      <c r="D382" t="s">
        <v>3486</v>
      </c>
      <c r="E382" t="s">
        <v>3487</v>
      </c>
    </row>
    <row r="383" spans="1:5" ht="15" customHeight="1" x14ac:dyDescent="0.2">
      <c r="A383" s="27" t="s">
        <v>1959</v>
      </c>
      <c r="B383" t="s">
        <v>1959</v>
      </c>
      <c r="C383" t="s">
        <v>1960</v>
      </c>
      <c r="D383" t="s">
        <v>3486</v>
      </c>
      <c r="E383" t="s">
        <v>3487</v>
      </c>
    </row>
    <row r="384" spans="1:5" ht="15" customHeight="1" x14ac:dyDescent="0.2">
      <c r="A384" s="27" t="s">
        <v>1967</v>
      </c>
      <c r="B384" t="s">
        <v>1967</v>
      </c>
      <c r="C384" t="s">
        <v>1968</v>
      </c>
      <c r="D384" t="s">
        <v>3486</v>
      </c>
      <c r="E384" t="s">
        <v>3487</v>
      </c>
    </row>
    <row r="385" spans="1:5" ht="15" customHeight="1" x14ac:dyDescent="0.2">
      <c r="A385" s="27" t="s">
        <v>1969</v>
      </c>
      <c r="B385" t="s">
        <v>1969</v>
      </c>
      <c r="C385" t="s">
        <v>1970</v>
      </c>
      <c r="D385" t="s">
        <v>3486</v>
      </c>
      <c r="E385" t="s">
        <v>3487</v>
      </c>
    </row>
    <row r="386" spans="1:5" ht="15" customHeight="1" x14ac:dyDescent="0.2">
      <c r="A386" s="27" t="s">
        <v>1971</v>
      </c>
      <c r="B386" t="s">
        <v>1971</v>
      </c>
      <c r="C386" t="s">
        <v>1972</v>
      </c>
      <c r="D386" t="s">
        <v>3486</v>
      </c>
      <c r="E386" t="s">
        <v>3487</v>
      </c>
    </row>
    <row r="387" spans="1:5" ht="15" customHeight="1" x14ac:dyDescent="0.2">
      <c r="A387" s="27" t="s">
        <v>1973</v>
      </c>
      <c r="B387" t="s">
        <v>1973</v>
      </c>
      <c r="C387" t="s">
        <v>1974</v>
      </c>
      <c r="D387" t="s">
        <v>3486</v>
      </c>
      <c r="E387" t="s">
        <v>3487</v>
      </c>
    </row>
    <row r="388" spans="1:5" ht="15" customHeight="1" x14ac:dyDescent="0.2">
      <c r="A388" s="27" t="s">
        <v>1965</v>
      </c>
      <c r="B388" t="s">
        <v>1965</v>
      </c>
      <c r="C388" t="s">
        <v>1966</v>
      </c>
      <c r="D388" t="s">
        <v>3486</v>
      </c>
      <c r="E388" t="s">
        <v>3487</v>
      </c>
    </row>
    <row r="389" spans="1:5" ht="15" customHeight="1" x14ac:dyDescent="0.2">
      <c r="A389" s="27" t="s">
        <v>1963</v>
      </c>
      <c r="B389" t="s">
        <v>1963</v>
      </c>
      <c r="C389" t="s">
        <v>1964</v>
      </c>
      <c r="D389" t="s">
        <v>3486</v>
      </c>
      <c r="E389" t="s">
        <v>3487</v>
      </c>
    </row>
    <row r="390" spans="1:5" ht="15" customHeight="1" x14ac:dyDescent="0.2">
      <c r="A390" s="27" t="s">
        <v>1728</v>
      </c>
      <c r="B390" t="s">
        <v>1728</v>
      </c>
      <c r="C390" t="s">
        <v>1729</v>
      </c>
      <c r="D390" t="s">
        <v>3486</v>
      </c>
      <c r="E390" t="s">
        <v>3487</v>
      </c>
    </row>
    <row r="391" spans="1:5" ht="15" customHeight="1" x14ac:dyDescent="0.2">
      <c r="A391" s="27" t="s">
        <v>1730</v>
      </c>
      <c r="B391" t="s">
        <v>1730</v>
      </c>
      <c r="C391" t="s">
        <v>1731</v>
      </c>
      <c r="D391" t="s">
        <v>3486</v>
      </c>
      <c r="E391" t="s">
        <v>3487</v>
      </c>
    </row>
    <row r="392" spans="1:5" ht="15" customHeight="1" x14ac:dyDescent="0.2">
      <c r="A392" s="27" t="s">
        <v>1854</v>
      </c>
      <c r="B392" t="s">
        <v>1854</v>
      </c>
      <c r="C392" t="s">
        <v>1855</v>
      </c>
      <c r="D392" t="s">
        <v>3486</v>
      </c>
      <c r="E392" t="s">
        <v>3487</v>
      </c>
    </row>
    <row r="393" spans="1:5" ht="15" customHeight="1" x14ac:dyDescent="0.2">
      <c r="A393" s="27" t="s">
        <v>2692</v>
      </c>
      <c r="B393" t="s">
        <v>2692</v>
      </c>
      <c r="C393" t="s">
        <v>2693</v>
      </c>
      <c r="D393" t="s">
        <v>3486</v>
      </c>
      <c r="E393" t="s">
        <v>3487</v>
      </c>
    </row>
    <row r="394" spans="1:5" ht="15" customHeight="1" x14ac:dyDescent="0.2">
      <c r="A394" s="27" t="s">
        <v>1867</v>
      </c>
      <c r="B394" t="s">
        <v>1868</v>
      </c>
      <c r="C394" t="s">
        <v>1869</v>
      </c>
      <c r="D394" t="s">
        <v>3486</v>
      </c>
      <c r="E394" t="s">
        <v>3487</v>
      </c>
    </row>
    <row r="395" spans="1:5" ht="15" customHeight="1" x14ac:dyDescent="0.2">
      <c r="A395" s="27" t="s">
        <v>1889</v>
      </c>
      <c r="B395" t="s">
        <v>1890</v>
      </c>
      <c r="C395" t="s">
        <v>1891</v>
      </c>
      <c r="D395" t="s">
        <v>3486</v>
      </c>
      <c r="E395" t="s">
        <v>3487</v>
      </c>
    </row>
    <row r="396" spans="1:5" ht="15" customHeight="1" x14ac:dyDescent="0.2">
      <c r="A396" s="27" t="s">
        <v>40</v>
      </c>
      <c r="B396" t="s">
        <v>40</v>
      </c>
      <c r="C396" t="s">
        <v>41</v>
      </c>
      <c r="D396" t="s">
        <v>3486</v>
      </c>
      <c r="E396" t="s">
        <v>3487</v>
      </c>
    </row>
    <row r="397" spans="1:5" ht="15" customHeight="1" x14ac:dyDescent="0.2">
      <c r="A397" s="27" t="s">
        <v>56</v>
      </c>
      <c r="B397" t="s">
        <v>55</v>
      </c>
      <c r="C397" t="s">
        <v>54</v>
      </c>
      <c r="D397" t="s">
        <v>3486</v>
      </c>
      <c r="E397" t="s">
        <v>3487</v>
      </c>
    </row>
    <row r="398" spans="1:5" ht="15" customHeight="1" x14ac:dyDescent="0.2">
      <c r="A398" s="27" t="s">
        <v>177</v>
      </c>
      <c r="B398" t="s">
        <v>178</v>
      </c>
      <c r="C398" t="s">
        <v>179</v>
      </c>
      <c r="D398" t="s">
        <v>3486</v>
      </c>
      <c r="E398" t="s">
        <v>3487</v>
      </c>
    </row>
    <row r="399" spans="1:5" ht="15" customHeight="1" x14ac:dyDescent="0.2">
      <c r="A399" s="27" t="s">
        <v>136</v>
      </c>
      <c r="B399" t="s">
        <v>136</v>
      </c>
      <c r="C399" t="s">
        <v>128</v>
      </c>
      <c r="D399" t="s">
        <v>3486</v>
      </c>
      <c r="E399" t="s">
        <v>3487</v>
      </c>
    </row>
    <row r="400" spans="1:5" ht="15" customHeight="1" x14ac:dyDescent="0.2">
      <c r="A400" s="27" t="s">
        <v>133</v>
      </c>
      <c r="B400" t="s">
        <v>134</v>
      </c>
      <c r="C400" t="s">
        <v>135</v>
      </c>
      <c r="D400" t="s">
        <v>3486</v>
      </c>
      <c r="E400" t="s">
        <v>3487</v>
      </c>
    </row>
    <row r="401" spans="1:5" ht="15" customHeight="1" x14ac:dyDescent="0.2">
      <c r="A401" s="27" t="s">
        <v>137</v>
      </c>
      <c r="B401" t="s">
        <v>138</v>
      </c>
      <c r="C401" t="s">
        <v>139</v>
      </c>
      <c r="D401" t="s">
        <v>3486</v>
      </c>
      <c r="E401" t="s">
        <v>3487</v>
      </c>
    </row>
    <row r="402" spans="1:5" ht="15" customHeight="1" x14ac:dyDescent="0.2">
      <c r="A402" s="27" t="s">
        <v>140</v>
      </c>
      <c r="B402" t="s">
        <v>141</v>
      </c>
      <c r="C402" t="s">
        <v>142</v>
      </c>
      <c r="D402" t="s">
        <v>3486</v>
      </c>
      <c r="E402" t="s">
        <v>3487</v>
      </c>
    </row>
    <row r="403" spans="1:5" ht="15" customHeight="1" x14ac:dyDescent="0.2">
      <c r="A403" s="27" t="s">
        <v>143</v>
      </c>
      <c r="B403" t="s">
        <v>144</v>
      </c>
      <c r="C403" t="s">
        <v>145</v>
      </c>
      <c r="D403" t="s">
        <v>3486</v>
      </c>
      <c r="E403" t="s">
        <v>3487</v>
      </c>
    </row>
    <row r="404" spans="1:5" ht="15" customHeight="1" x14ac:dyDescent="0.2">
      <c r="A404" s="27" t="s">
        <v>146</v>
      </c>
      <c r="B404" t="s">
        <v>146</v>
      </c>
      <c r="C404" t="s">
        <v>147</v>
      </c>
      <c r="D404" t="s">
        <v>3486</v>
      </c>
      <c r="E404" t="s">
        <v>3487</v>
      </c>
    </row>
    <row r="405" spans="1:5" ht="15" customHeight="1" x14ac:dyDescent="0.2">
      <c r="A405" s="27" t="s">
        <v>153</v>
      </c>
      <c r="B405" t="s">
        <v>154</v>
      </c>
      <c r="C405" t="s">
        <v>155</v>
      </c>
      <c r="D405" t="s">
        <v>3486</v>
      </c>
      <c r="E405" t="s">
        <v>3487</v>
      </c>
    </row>
    <row r="406" spans="1:5" ht="15" customHeight="1" x14ac:dyDescent="0.2">
      <c r="A406" s="27" t="s">
        <v>159</v>
      </c>
      <c r="B406" t="s">
        <v>161</v>
      </c>
      <c r="C406" t="s">
        <v>160</v>
      </c>
      <c r="D406" t="s">
        <v>3486</v>
      </c>
      <c r="E406" t="s">
        <v>3487</v>
      </c>
    </row>
    <row r="407" spans="1:5" ht="15" customHeight="1" x14ac:dyDescent="0.2">
      <c r="A407" s="27" t="s">
        <v>168</v>
      </c>
      <c r="B407" t="s">
        <v>168</v>
      </c>
      <c r="C407" t="s">
        <v>169</v>
      </c>
      <c r="D407" t="s">
        <v>3486</v>
      </c>
      <c r="E407" t="s">
        <v>3487</v>
      </c>
    </row>
    <row r="408" spans="1:5" ht="15" customHeight="1" x14ac:dyDescent="0.2">
      <c r="A408" t="s">
        <v>2406</v>
      </c>
      <c r="B408" t="s">
        <v>2431</v>
      </c>
      <c r="C408" t="s">
        <v>2407</v>
      </c>
      <c r="D408" t="s">
        <v>3486</v>
      </c>
      <c r="E408" t="s">
        <v>3487</v>
      </c>
    </row>
    <row r="409" spans="1:5" ht="15" customHeight="1" x14ac:dyDescent="0.2">
      <c r="A409" t="s">
        <v>2408</v>
      </c>
      <c r="B409" t="s">
        <v>2408</v>
      </c>
      <c r="C409" t="s">
        <v>2409</v>
      </c>
      <c r="D409" t="s">
        <v>3486</v>
      </c>
      <c r="E409" t="s">
        <v>3487</v>
      </c>
    </row>
    <row r="410" spans="1:5" ht="15" customHeight="1" x14ac:dyDescent="0.2">
      <c r="A410" t="s">
        <v>2410</v>
      </c>
      <c r="B410" t="s">
        <v>2410</v>
      </c>
      <c r="C410" t="s">
        <v>2407</v>
      </c>
      <c r="D410" t="s">
        <v>3486</v>
      </c>
      <c r="E410" t="s">
        <v>3487</v>
      </c>
    </row>
    <row r="411" spans="1:5" ht="15" customHeight="1" x14ac:dyDescent="0.2">
      <c r="A411" t="s">
        <v>2411</v>
      </c>
      <c r="B411" t="s">
        <v>2411</v>
      </c>
      <c r="C411" t="s">
        <v>2409</v>
      </c>
      <c r="D411" t="s">
        <v>3486</v>
      </c>
      <c r="E411" t="s">
        <v>3487</v>
      </c>
    </row>
    <row r="412" spans="1:5" ht="15" customHeight="1" x14ac:dyDescent="0.2">
      <c r="A412" t="s">
        <v>2412</v>
      </c>
      <c r="B412" t="s">
        <v>2412</v>
      </c>
      <c r="C412" t="s">
        <v>2413</v>
      </c>
      <c r="D412" t="s">
        <v>3486</v>
      </c>
      <c r="E412" t="s">
        <v>3487</v>
      </c>
    </row>
    <row r="413" spans="1:5" ht="15" customHeight="1" x14ac:dyDescent="0.2">
      <c r="A413" t="s">
        <v>2414</v>
      </c>
      <c r="B413" t="s">
        <v>2414</v>
      </c>
      <c r="C413" t="s">
        <v>2415</v>
      </c>
      <c r="D413" t="s">
        <v>3486</v>
      </c>
      <c r="E413" t="s">
        <v>3487</v>
      </c>
    </row>
    <row r="414" spans="1:5" ht="15" customHeight="1" x14ac:dyDescent="0.2">
      <c r="A414" t="s">
        <v>2416</v>
      </c>
      <c r="B414" t="s">
        <v>2416</v>
      </c>
      <c r="C414" t="s">
        <v>2417</v>
      </c>
      <c r="D414" t="s">
        <v>3486</v>
      </c>
      <c r="E414" t="s">
        <v>3487</v>
      </c>
    </row>
    <row r="415" spans="1:5" ht="15" customHeight="1" x14ac:dyDescent="0.2">
      <c r="A415" t="s">
        <v>2418</v>
      </c>
      <c r="B415" t="s">
        <v>2418</v>
      </c>
      <c r="C415" t="s">
        <v>2407</v>
      </c>
      <c r="D415" t="s">
        <v>3486</v>
      </c>
      <c r="E415" t="s">
        <v>3487</v>
      </c>
    </row>
    <row r="416" spans="1:5" ht="15" customHeight="1" x14ac:dyDescent="0.2">
      <c r="A416" t="s">
        <v>2419</v>
      </c>
      <c r="B416" t="s">
        <v>2419</v>
      </c>
      <c r="C416" t="s">
        <v>2409</v>
      </c>
      <c r="D416" t="s">
        <v>3486</v>
      </c>
      <c r="E416" t="s">
        <v>3487</v>
      </c>
    </row>
    <row r="417" spans="1:5" ht="15" customHeight="1" x14ac:dyDescent="0.2">
      <c r="A417" t="s">
        <v>2420</v>
      </c>
      <c r="B417" t="s">
        <v>2420</v>
      </c>
      <c r="C417" t="s">
        <v>2407</v>
      </c>
      <c r="D417" t="s">
        <v>3486</v>
      </c>
      <c r="E417" t="s">
        <v>3487</v>
      </c>
    </row>
    <row r="418" spans="1:5" ht="15" customHeight="1" x14ac:dyDescent="0.2">
      <c r="A418" t="s">
        <v>2421</v>
      </c>
      <c r="B418" t="s">
        <v>2421</v>
      </c>
      <c r="C418" t="s">
        <v>2422</v>
      </c>
      <c r="D418" t="s">
        <v>3486</v>
      </c>
      <c r="E418" t="s">
        <v>3487</v>
      </c>
    </row>
    <row r="419" spans="1:5" ht="15" customHeight="1" x14ac:dyDescent="0.2">
      <c r="A419" t="s">
        <v>2423</v>
      </c>
      <c r="B419" t="s">
        <v>2423</v>
      </c>
      <c r="C419" t="s">
        <v>2407</v>
      </c>
      <c r="D419" t="s">
        <v>3486</v>
      </c>
      <c r="E419" t="s">
        <v>3487</v>
      </c>
    </row>
    <row r="420" spans="1:5" ht="15" customHeight="1" x14ac:dyDescent="0.2">
      <c r="A420" t="s">
        <v>2424</v>
      </c>
      <c r="B420" t="s">
        <v>2424</v>
      </c>
      <c r="C420" t="s">
        <v>2409</v>
      </c>
      <c r="D420" t="s">
        <v>3486</v>
      </c>
      <c r="E420" t="s">
        <v>3487</v>
      </c>
    </row>
    <row r="421" spans="1:5" ht="15" customHeight="1" x14ac:dyDescent="0.2">
      <c r="A421" t="s">
        <v>2425</v>
      </c>
      <c r="B421" t="s">
        <v>2425</v>
      </c>
      <c r="C421" t="s">
        <v>2409</v>
      </c>
      <c r="D421" t="s">
        <v>3486</v>
      </c>
      <c r="E421" t="s">
        <v>3487</v>
      </c>
    </row>
    <row r="422" spans="1:5" ht="15" customHeight="1" x14ac:dyDescent="0.2">
      <c r="A422" t="s">
        <v>2426</v>
      </c>
      <c r="B422" t="s">
        <v>2426</v>
      </c>
      <c r="C422" t="s">
        <v>2427</v>
      </c>
      <c r="D422" t="s">
        <v>3486</v>
      </c>
      <c r="E422" t="s">
        <v>3487</v>
      </c>
    </row>
    <row r="423" spans="1:5" ht="15" customHeight="1" x14ac:dyDescent="0.2">
      <c r="A423" t="s">
        <v>2391</v>
      </c>
      <c r="B423" t="s">
        <v>2391</v>
      </c>
      <c r="C423" t="s">
        <v>2428</v>
      </c>
      <c r="D423" t="s">
        <v>3486</v>
      </c>
      <c r="E423" t="s">
        <v>3487</v>
      </c>
    </row>
    <row r="424" spans="1:5" ht="15" customHeight="1" x14ac:dyDescent="0.2">
      <c r="A424" t="s">
        <v>2429</v>
      </c>
      <c r="B424" t="s">
        <v>2429</v>
      </c>
      <c r="C424" t="s">
        <v>2430</v>
      </c>
      <c r="D424" t="s">
        <v>3486</v>
      </c>
      <c r="E424" t="s">
        <v>3487</v>
      </c>
    </row>
    <row r="425" spans="1:5" ht="15" customHeight="1" x14ac:dyDescent="0.2">
      <c r="A425" t="s">
        <v>710</v>
      </c>
      <c r="B425" t="s">
        <v>711</v>
      </c>
      <c r="C425" t="s">
        <v>712</v>
      </c>
      <c r="D425" t="s">
        <v>3486</v>
      </c>
      <c r="E425" t="s">
        <v>3487</v>
      </c>
    </row>
    <row r="426" spans="1:5" ht="15" customHeight="1" x14ac:dyDescent="0.2">
      <c r="A426" t="s">
        <v>778</v>
      </c>
      <c r="B426" t="s">
        <v>779</v>
      </c>
      <c r="C426" t="s">
        <v>780</v>
      </c>
      <c r="D426" t="s">
        <v>3486</v>
      </c>
      <c r="E426" t="s">
        <v>3487</v>
      </c>
    </row>
    <row r="427" spans="1:5" ht="15" customHeight="1" x14ac:dyDescent="0.2">
      <c r="A427" t="s">
        <v>790</v>
      </c>
      <c r="B427" t="s">
        <v>791</v>
      </c>
      <c r="C427" t="s">
        <v>792</v>
      </c>
      <c r="D427" t="s">
        <v>3486</v>
      </c>
      <c r="E427" t="s">
        <v>3487</v>
      </c>
    </row>
    <row r="428" spans="1:5" ht="15" customHeight="1" x14ac:dyDescent="0.2">
      <c r="A428" t="s">
        <v>834</v>
      </c>
      <c r="B428" t="s">
        <v>834</v>
      </c>
      <c r="C428" t="s">
        <v>835</v>
      </c>
      <c r="D428" t="s">
        <v>3486</v>
      </c>
      <c r="E428" t="s">
        <v>3487</v>
      </c>
    </row>
    <row r="429" spans="1:5" ht="15" customHeight="1" x14ac:dyDescent="0.2">
      <c r="A429" t="s">
        <v>887</v>
      </c>
      <c r="B429" t="s">
        <v>888</v>
      </c>
      <c r="C429" t="s">
        <v>889</v>
      </c>
      <c r="D429" t="s">
        <v>3486</v>
      </c>
      <c r="E429" t="s">
        <v>3487</v>
      </c>
    </row>
    <row r="430" spans="1:5" ht="15" customHeight="1" x14ac:dyDescent="0.2">
      <c r="A430" t="s">
        <v>892</v>
      </c>
      <c r="B430" t="s">
        <v>892</v>
      </c>
      <c r="C430" t="s">
        <v>893</v>
      </c>
      <c r="D430" t="s">
        <v>3486</v>
      </c>
      <c r="E430" t="s">
        <v>3487</v>
      </c>
    </row>
    <row r="431" spans="1:5" ht="15" customHeight="1" x14ac:dyDescent="0.2">
      <c r="A431" t="s">
        <v>894</v>
      </c>
      <c r="B431" t="s">
        <v>895</v>
      </c>
      <c r="C431" t="s">
        <v>896</v>
      </c>
      <c r="D431" t="s">
        <v>3486</v>
      </c>
      <c r="E431" t="s">
        <v>3487</v>
      </c>
    </row>
    <row r="432" spans="1:5" ht="15" customHeight="1" x14ac:dyDescent="0.2">
      <c r="A432" t="s">
        <v>906</v>
      </c>
      <c r="B432" t="s">
        <v>907</v>
      </c>
      <c r="C432" t="s">
        <v>908</v>
      </c>
      <c r="D432" t="s">
        <v>3486</v>
      </c>
      <c r="E432" t="s">
        <v>3487</v>
      </c>
    </row>
    <row r="433" spans="1:5" ht="15" customHeight="1" x14ac:dyDescent="0.2">
      <c r="A433" t="s">
        <v>903</v>
      </c>
      <c r="B433" t="s">
        <v>904</v>
      </c>
      <c r="C433" t="s">
        <v>905</v>
      </c>
      <c r="D433" t="s">
        <v>3486</v>
      </c>
      <c r="E433" t="s">
        <v>3487</v>
      </c>
    </row>
    <row r="434" spans="1:5" ht="15" customHeight="1" x14ac:dyDescent="0.2">
      <c r="A434" t="s">
        <v>3046</v>
      </c>
      <c r="B434" t="s">
        <v>3047</v>
      </c>
      <c r="C434" t="s">
        <v>3048</v>
      </c>
      <c r="D434" t="s">
        <v>3486</v>
      </c>
      <c r="E434" t="s">
        <v>3487</v>
      </c>
    </row>
    <row r="435" spans="1:5" ht="15" customHeight="1" x14ac:dyDescent="0.2">
      <c r="A435" t="s">
        <v>3112</v>
      </c>
      <c r="B435" t="s">
        <v>3113</v>
      </c>
      <c r="C435" t="s">
        <v>3114</v>
      </c>
      <c r="D435" t="s">
        <v>3486</v>
      </c>
      <c r="E435" t="s">
        <v>3487</v>
      </c>
    </row>
    <row r="436" spans="1:5" ht="15" customHeight="1" x14ac:dyDescent="0.2">
      <c r="A436" t="s">
        <v>3049</v>
      </c>
      <c r="B436" t="s">
        <v>3049</v>
      </c>
      <c r="C436" t="s">
        <v>3050</v>
      </c>
      <c r="D436" t="s">
        <v>3486</v>
      </c>
      <c r="E436" t="s">
        <v>3487</v>
      </c>
    </row>
    <row r="437" spans="1:5" ht="15" customHeight="1" x14ac:dyDescent="0.2">
      <c r="A437" t="s">
        <v>2964</v>
      </c>
      <c r="B437" t="s">
        <v>2964</v>
      </c>
      <c r="C437" t="s">
        <v>2965</v>
      </c>
      <c r="D437" t="s">
        <v>3486</v>
      </c>
      <c r="E437" t="s">
        <v>3487</v>
      </c>
    </row>
    <row r="438" spans="1:5" ht="15" customHeight="1" x14ac:dyDescent="0.2">
      <c r="A438" t="s">
        <v>3617</v>
      </c>
      <c r="B438" t="s">
        <v>3618</v>
      </c>
      <c r="C438" t="s">
        <v>3616</v>
      </c>
      <c r="D438" t="s">
        <v>3486</v>
      </c>
      <c r="E438" t="s">
        <v>3487</v>
      </c>
    </row>
    <row r="439" spans="1:5" ht="15" customHeight="1" x14ac:dyDescent="0.2">
      <c r="A439" s="27">
        <v>111</v>
      </c>
      <c r="B439" s="27">
        <v>111</v>
      </c>
      <c r="C439" t="s">
        <v>1977</v>
      </c>
      <c r="D439" t="s">
        <v>3471</v>
      </c>
      <c r="E439" t="s">
        <v>3472</v>
      </c>
    </row>
    <row r="440" spans="1:5" ht="15" customHeight="1" x14ac:dyDescent="0.2">
      <c r="A440" s="27">
        <v>112</v>
      </c>
      <c r="B440" s="27">
        <v>112</v>
      </c>
      <c r="C440" t="s">
        <v>1978</v>
      </c>
      <c r="D440" t="s">
        <v>3471</v>
      </c>
      <c r="E440" t="s">
        <v>3472</v>
      </c>
    </row>
    <row r="441" spans="1:5" ht="15" customHeight="1" x14ac:dyDescent="0.2">
      <c r="A441" s="27">
        <v>113</v>
      </c>
      <c r="B441" s="27">
        <v>113</v>
      </c>
      <c r="C441" t="s">
        <v>1979</v>
      </c>
      <c r="D441" t="s">
        <v>3471</v>
      </c>
      <c r="E441" t="s">
        <v>3472</v>
      </c>
    </row>
    <row r="442" spans="1:5" ht="15" customHeight="1" x14ac:dyDescent="0.2">
      <c r="A442" s="27">
        <v>114</v>
      </c>
      <c r="B442" s="27">
        <v>114</v>
      </c>
      <c r="C442" t="s">
        <v>1980</v>
      </c>
      <c r="D442" t="s">
        <v>3471</v>
      </c>
      <c r="E442" t="s">
        <v>3472</v>
      </c>
    </row>
    <row r="443" spans="1:5" ht="15" customHeight="1" x14ac:dyDescent="0.2">
      <c r="A443" s="27">
        <v>117</v>
      </c>
      <c r="B443" s="27">
        <v>117</v>
      </c>
      <c r="C443" t="s">
        <v>1975</v>
      </c>
      <c r="D443" t="s">
        <v>3471</v>
      </c>
      <c r="E443" t="s">
        <v>3472</v>
      </c>
    </row>
    <row r="444" spans="1:5" ht="15" customHeight="1" x14ac:dyDescent="0.2">
      <c r="A444" s="27">
        <v>118</v>
      </c>
      <c r="B444" s="27">
        <v>118</v>
      </c>
      <c r="C444" t="s">
        <v>1976</v>
      </c>
      <c r="D444" t="s">
        <v>3471</v>
      </c>
      <c r="E444" t="s">
        <v>3472</v>
      </c>
    </row>
    <row r="445" spans="1:5" ht="15" customHeight="1" x14ac:dyDescent="0.2">
      <c r="A445" s="27" t="s">
        <v>1981</v>
      </c>
      <c r="B445" t="s">
        <v>1981</v>
      </c>
      <c r="C445" t="s">
        <v>1982</v>
      </c>
      <c r="D445" t="s">
        <v>3473</v>
      </c>
      <c r="E445" t="s">
        <v>3473</v>
      </c>
    </row>
    <row r="446" spans="1:5" ht="15" customHeight="1" x14ac:dyDescent="0.2">
      <c r="A446" s="27" t="s">
        <v>1983</v>
      </c>
      <c r="B446" t="s">
        <v>1983</v>
      </c>
      <c r="C446" t="s">
        <v>1984</v>
      </c>
      <c r="D446" t="s">
        <v>3473</v>
      </c>
      <c r="E446" t="s">
        <v>3473</v>
      </c>
    </row>
    <row r="447" spans="1:5" ht="15" customHeight="1" x14ac:dyDescent="0.2">
      <c r="A447" s="27" t="s">
        <v>1985</v>
      </c>
      <c r="B447" t="s">
        <v>1985</v>
      </c>
      <c r="C447" t="s">
        <v>1986</v>
      </c>
      <c r="D447" t="s">
        <v>3473</v>
      </c>
      <c r="E447" t="s">
        <v>3473</v>
      </c>
    </row>
    <row r="448" spans="1:5" ht="15" customHeight="1" x14ac:dyDescent="0.2">
      <c r="A448" s="27" t="s">
        <v>1987</v>
      </c>
      <c r="B448" t="s">
        <v>1987</v>
      </c>
      <c r="C448" t="s">
        <v>1988</v>
      </c>
      <c r="D448" t="s">
        <v>3473</v>
      </c>
      <c r="E448" t="s">
        <v>3473</v>
      </c>
    </row>
    <row r="449" spans="1:5" ht="15" customHeight="1" x14ac:dyDescent="0.2">
      <c r="A449" s="27" t="s">
        <v>1989</v>
      </c>
      <c r="B449" t="s">
        <v>1989</v>
      </c>
      <c r="C449" t="s">
        <v>1990</v>
      </c>
      <c r="D449" t="s">
        <v>3473</v>
      </c>
      <c r="E449" t="s">
        <v>3473</v>
      </c>
    </row>
    <row r="450" spans="1:5" ht="15" customHeight="1" x14ac:dyDescent="0.2">
      <c r="A450" s="27" t="s">
        <v>1991</v>
      </c>
      <c r="B450" t="s">
        <v>1991</v>
      </c>
      <c r="C450" t="s">
        <v>1992</v>
      </c>
      <c r="D450" t="s">
        <v>3473</v>
      </c>
      <c r="E450" t="s">
        <v>3473</v>
      </c>
    </row>
    <row r="451" spans="1:5" ht="15" customHeight="1" x14ac:dyDescent="0.2">
      <c r="A451" s="27" t="s">
        <v>1993</v>
      </c>
      <c r="B451" t="s">
        <v>1993</v>
      </c>
      <c r="C451" t="s">
        <v>1994</v>
      </c>
      <c r="D451" t="s">
        <v>3473</v>
      </c>
      <c r="E451" t="s">
        <v>3473</v>
      </c>
    </row>
    <row r="452" spans="1:5" ht="15" customHeight="1" x14ac:dyDescent="0.2">
      <c r="A452" s="27" t="s">
        <v>1995</v>
      </c>
      <c r="B452" t="s">
        <v>1995</v>
      </c>
      <c r="C452" t="s">
        <v>1996</v>
      </c>
      <c r="D452" t="s">
        <v>3473</v>
      </c>
      <c r="E452" t="s">
        <v>3473</v>
      </c>
    </row>
    <row r="453" spans="1:5" ht="15" customHeight="1" x14ac:dyDescent="0.2">
      <c r="A453" s="27" t="s">
        <v>1997</v>
      </c>
      <c r="B453" t="s">
        <v>1997</v>
      </c>
      <c r="C453" t="s">
        <v>1998</v>
      </c>
      <c r="D453" t="s">
        <v>3473</v>
      </c>
      <c r="E453" t="s">
        <v>3473</v>
      </c>
    </row>
    <row r="454" spans="1:5" ht="15" customHeight="1" x14ac:dyDescent="0.2">
      <c r="A454" s="27" t="s">
        <v>1999</v>
      </c>
      <c r="B454" t="s">
        <v>1999</v>
      </c>
      <c r="C454" t="s">
        <v>2000</v>
      </c>
      <c r="D454" t="s">
        <v>3473</v>
      </c>
      <c r="E454" t="s">
        <v>3473</v>
      </c>
    </row>
    <row r="455" spans="1:5" ht="15" customHeight="1" x14ac:dyDescent="0.2">
      <c r="A455" s="27" t="s">
        <v>2001</v>
      </c>
      <c r="B455" t="s">
        <v>2001</v>
      </c>
      <c r="C455" t="s">
        <v>2002</v>
      </c>
      <c r="D455" t="s">
        <v>3473</v>
      </c>
      <c r="E455" t="s">
        <v>3473</v>
      </c>
    </row>
    <row r="456" spans="1:5" ht="15" customHeight="1" x14ac:dyDescent="0.2">
      <c r="A456" s="27" t="s">
        <v>2003</v>
      </c>
      <c r="B456" t="s">
        <v>2003</v>
      </c>
      <c r="C456" t="s">
        <v>2004</v>
      </c>
      <c r="D456" t="s">
        <v>3473</v>
      </c>
      <c r="E456" t="s">
        <v>3473</v>
      </c>
    </row>
    <row r="457" spans="1:5" ht="15" customHeight="1" x14ac:dyDescent="0.2">
      <c r="A457" s="27" t="s">
        <v>2005</v>
      </c>
      <c r="B457" t="s">
        <v>2005</v>
      </c>
      <c r="C457" t="s">
        <v>2006</v>
      </c>
      <c r="D457" t="s">
        <v>3473</v>
      </c>
      <c r="E457" t="s">
        <v>3473</v>
      </c>
    </row>
    <row r="458" spans="1:5" ht="15" customHeight="1" x14ac:dyDescent="0.2">
      <c r="A458" s="27" t="s">
        <v>2007</v>
      </c>
      <c r="B458" t="s">
        <v>2007</v>
      </c>
      <c r="C458" t="s">
        <v>2008</v>
      </c>
      <c r="D458" t="s">
        <v>3473</v>
      </c>
      <c r="E458" t="s">
        <v>3473</v>
      </c>
    </row>
    <row r="459" spans="1:5" ht="15" customHeight="1" x14ac:dyDescent="0.2">
      <c r="A459" s="27" t="s">
        <v>2009</v>
      </c>
      <c r="B459" t="s">
        <v>2009</v>
      </c>
      <c r="C459" t="s">
        <v>2010</v>
      </c>
      <c r="D459" t="s">
        <v>3473</v>
      </c>
      <c r="E459" t="s">
        <v>3473</v>
      </c>
    </row>
    <row r="460" spans="1:5" ht="15" customHeight="1" x14ac:dyDescent="0.2">
      <c r="A460" s="27" t="s">
        <v>2011</v>
      </c>
      <c r="B460" t="s">
        <v>2011</v>
      </c>
      <c r="C460" t="s">
        <v>2012</v>
      </c>
      <c r="D460" t="s">
        <v>3473</v>
      </c>
      <c r="E460" t="s">
        <v>3473</v>
      </c>
    </row>
    <row r="461" spans="1:5" ht="15" customHeight="1" x14ac:dyDescent="0.2">
      <c r="A461" s="27" t="s">
        <v>2013</v>
      </c>
      <c r="B461" t="s">
        <v>2013</v>
      </c>
      <c r="C461" t="s">
        <v>2014</v>
      </c>
      <c r="D461" t="s">
        <v>3473</v>
      </c>
      <c r="E461" t="s">
        <v>3473</v>
      </c>
    </row>
    <row r="462" spans="1:5" ht="15" customHeight="1" x14ac:dyDescent="0.2">
      <c r="A462" s="27" t="s">
        <v>2015</v>
      </c>
      <c r="B462" t="s">
        <v>2015</v>
      </c>
      <c r="C462" t="s">
        <v>2016</v>
      </c>
      <c r="D462" t="s">
        <v>3473</v>
      </c>
      <c r="E462" t="s">
        <v>3473</v>
      </c>
    </row>
    <row r="463" spans="1:5" ht="15" customHeight="1" x14ac:dyDescent="0.2">
      <c r="A463" s="27" t="s">
        <v>2017</v>
      </c>
      <c r="B463" t="s">
        <v>2017</v>
      </c>
      <c r="C463" t="s">
        <v>2018</v>
      </c>
      <c r="D463" t="s">
        <v>3473</v>
      </c>
      <c r="E463" t="s">
        <v>3473</v>
      </c>
    </row>
    <row r="464" spans="1:5" ht="15" customHeight="1" x14ac:dyDescent="0.2">
      <c r="A464" s="27" t="s">
        <v>2019</v>
      </c>
      <c r="B464" t="s">
        <v>2019</v>
      </c>
      <c r="C464" t="s">
        <v>2020</v>
      </c>
      <c r="D464" t="s">
        <v>3473</v>
      </c>
      <c r="E464" t="s">
        <v>3473</v>
      </c>
    </row>
    <row r="465" spans="1:5" ht="15" customHeight="1" x14ac:dyDescent="0.2">
      <c r="A465" s="27" t="s">
        <v>2021</v>
      </c>
      <c r="B465" t="s">
        <v>2021</v>
      </c>
      <c r="C465" t="s">
        <v>2022</v>
      </c>
      <c r="D465" t="s">
        <v>3473</v>
      </c>
      <c r="E465" t="s">
        <v>3473</v>
      </c>
    </row>
    <row r="466" spans="1:5" ht="15" customHeight="1" x14ac:dyDescent="0.2">
      <c r="A466" s="27" t="s">
        <v>2023</v>
      </c>
      <c r="B466" t="s">
        <v>2023</v>
      </c>
      <c r="C466" t="s">
        <v>2024</v>
      </c>
      <c r="D466" t="s">
        <v>3473</v>
      </c>
      <c r="E466" t="s">
        <v>3473</v>
      </c>
    </row>
    <row r="467" spans="1:5" ht="15" customHeight="1" x14ac:dyDescent="0.2">
      <c r="A467" s="27" t="s">
        <v>2025</v>
      </c>
      <c r="B467" t="s">
        <v>2025</v>
      </c>
      <c r="C467" t="s">
        <v>2026</v>
      </c>
      <c r="D467" t="s">
        <v>3473</v>
      </c>
      <c r="E467" t="s">
        <v>3473</v>
      </c>
    </row>
    <row r="468" spans="1:5" ht="15" customHeight="1" x14ac:dyDescent="0.2">
      <c r="A468" s="27" t="s">
        <v>2027</v>
      </c>
      <c r="B468" t="s">
        <v>2027</v>
      </c>
      <c r="C468" t="s">
        <v>2028</v>
      </c>
      <c r="D468" t="s">
        <v>3473</v>
      </c>
      <c r="E468" t="s">
        <v>3473</v>
      </c>
    </row>
    <row r="469" spans="1:5" ht="15" customHeight="1" x14ac:dyDescent="0.2">
      <c r="A469" s="27" t="s">
        <v>2029</v>
      </c>
      <c r="B469" t="s">
        <v>2029</v>
      </c>
      <c r="C469" t="s">
        <v>2030</v>
      </c>
      <c r="D469" t="s">
        <v>3473</v>
      </c>
      <c r="E469" t="s">
        <v>3473</v>
      </c>
    </row>
    <row r="470" spans="1:5" ht="15" customHeight="1" x14ac:dyDescent="0.2">
      <c r="A470" s="27" t="s">
        <v>2031</v>
      </c>
      <c r="B470" t="s">
        <v>2031</v>
      </c>
      <c r="C470" t="s">
        <v>2032</v>
      </c>
      <c r="D470" t="s">
        <v>3473</v>
      </c>
      <c r="E470" t="s">
        <v>3473</v>
      </c>
    </row>
    <row r="471" spans="1:5" ht="15" customHeight="1" x14ac:dyDescent="0.2">
      <c r="A471" s="27" t="s">
        <v>2033</v>
      </c>
      <c r="B471" t="s">
        <v>2033</v>
      </c>
      <c r="C471" t="s">
        <v>2034</v>
      </c>
      <c r="D471" t="s">
        <v>3473</v>
      </c>
      <c r="E471" t="s">
        <v>3473</v>
      </c>
    </row>
    <row r="472" spans="1:5" ht="15" customHeight="1" x14ac:dyDescent="0.2">
      <c r="A472" s="27" t="s">
        <v>2035</v>
      </c>
      <c r="B472" t="s">
        <v>2035</v>
      </c>
      <c r="C472" t="s">
        <v>2036</v>
      </c>
      <c r="D472" t="s">
        <v>3473</v>
      </c>
      <c r="E472" t="s">
        <v>3473</v>
      </c>
    </row>
    <row r="473" spans="1:5" ht="15" customHeight="1" x14ac:dyDescent="0.2">
      <c r="A473" s="27" t="s">
        <v>2037</v>
      </c>
      <c r="B473" t="s">
        <v>2037</v>
      </c>
      <c r="C473" t="s">
        <v>2038</v>
      </c>
      <c r="D473" t="s">
        <v>3473</v>
      </c>
      <c r="E473" t="s">
        <v>3473</v>
      </c>
    </row>
    <row r="474" spans="1:5" ht="15" customHeight="1" x14ac:dyDescent="0.2">
      <c r="A474" s="27" t="s">
        <v>2039</v>
      </c>
      <c r="B474" t="s">
        <v>2039</v>
      </c>
      <c r="C474" t="s">
        <v>2040</v>
      </c>
      <c r="D474" t="s">
        <v>3473</v>
      </c>
      <c r="E474" t="s">
        <v>3473</v>
      </c>
    </row>
    <row r="475" spans="1:5" ht="15" customHeight="1" x14ac:dyDescent="0.2">
      <c r="A475" s="27" t="s">
        <v>2041</v>
      </c>
      <c r="B475" t="s">
        <v>2041</v>
      </c>
      <c r="C475" t="s">
        <v>2042</v>
      </c>
      <c r="D475" t="s">
        <v>3473</v>
      </c>
      <c r="E475" t="s">
        <v>3473</v>
      </c>
    </row>
    <row r="476" spans="1:5" ht="15" customHeight="1" x14ac:dyDescent="0.2">
      <c r="A476" s="27" t="s">
        <v>2043</v>
      </c>
      <c r="B476" t="s">
        <v>2043</v>
      </c>
      <c r="C476" t="s">
        <v>2044</v>
      </c>
      <c r="D476" t="s">
        <v>3473</v>
      </c>
      <c r="E476" t="s">
        <v>3473</v>
      </c>
    </row>
    <row r="477" spans="1:5" ht="15" customHeight="1" x14ac:dyDescent="0.2">
      <c r="A477" s="27" t="s">
        <v>2045</v>
      </c>
      <c r="B477" t="s">
        <v>2045</v>
      </c>
      <c r="C477" t="s">
        <v>2046</v>
      </c>
      <c r="D477" t="s">
        <v>3473</v>
      </c>
      <c r="E477" t="s">
        <v>3473</v>
      </c>
    </row>
    <row r="478" spans="1:5" ht="15" customHeight="1" x14ac:dyDescent="0.2">
      <c r="A478" s="27" t="s">
        <v>2047</v>
      </c>
      <c r="B478" t="s">
        <v>2047</v>
      </c>
      <c r="C478" t="s">
        <v>2048</v>
      </c>
      <c r="D478" t="s">
        <v>3473</v>
      </c>
      <c r="E478" t="s">
        <v>3473</v>
      </c>
    </row>
    <row r="479" spans="1:5" ht="15" customHeight="1" x14ac:dyDescent="0.2">
      <c r="A479" s="27" t="s">
        <v>2049</v>
      </c>
      <c r="B479" t="s">
        <v>2049</v>
      </c>
      <c r="C479" t="s">
        <v>2050</v>
      </c>
      <c r="D479" t="s">
        <v>3473</v>
      </c>
      <c r="E479" t="s">
        <v>3473</v>
      </c>
    </row>
    <row r="480" spans="1:5" ht="15" customHeight="1" x14ac:dyDescent="0.2">
      <c r="A480" s="27" t="s">
        <v>2051</v>
      </c>
      <c r="B480" t="s">
        <v>2051</v>
      </c>
      <c r="C480" t="s">
        <v>2052</v>
      </c>
      <c r="D480" t="s">
        <v>3473</v>
      </c>
      <c r="E480" t="s">
        <v>3473</v>
      </c>
    </row>
    <row r="481" spans="1:5" ht="15" customHeight="1" x14ac:dyDescent="0.2">
      <c r="A481" s="27" t="s">
        <v>2053</v>
      </c>
      <c r="B481" t="s">
        <v>2053</v>
      </c>
      <c r="C481" t="s">
        <v>2054</v>
      </c>
      <c r="D481" t="s">
        <v>3473</v>
      </c>
      <c r="E481" t="s">
        <v>3473</v>
      </c>
    </row>
    <row r="482" spans="1:5" ht="15" customHeight="1" x14ac:dyDescent="0.2">
      <c r="A482" s="27" t="s">
        <v>2055</v>
      </c>
      <c r="B482" t="s">
        <v>2055</v>
      </c>
      <c r="C482" t="s">
        <v>2056</v>
      </c>
      <c r="D482" t="s">
        <v>3575</v>
      </c>
      <c r="E482" t="s">
        <v>3473</v>
      </c>
    </row>
    <row r="483" spans="1:5" ht="15" customHeight="1" x14ac:dyDescent="0.2">
      <c r="A483" s="55" t="s">
        <v>2473</v>
      </c>
      <c r="B483" s="55" t="s">
        <v>2473</v>
      </c>
      <c r="C483" t="s">
        <v>2474</v>
      </c>
      <c r="D483" t="s">
        <v>3473</v>
      </c>
      <c r="E483" t="s">
        <v>3473</v>
      </c>
    </row>
    <row r="484" spans="1:5" ht="15" customHeight="1" x14ac:dyDescent="0.2">
      <c r="A484" s="55" t="s">
        <v>2475</v>
      </c>
      <c r="B484" s="55" t="s">
        <v>2475</v>
      </c>
      <c r="C484" t="s">
        <v>2476</v>
      </c>
      <c r="D484" t="s">
        <v>3473</v>
      </c>
      <c r="E484" t="s">
        <v>3473</v>
      </c>
    </row>
    <row r="485" spans="1:5" ht="15" customHeight="1" x14ac:dyDescent="0.2">
      <c r="A485" s="55" t="s">
        <v>2477</v>
      </c>
      <c r="B485" s="55" t="s">
        <v>2477</v>
      </c>
      <c r="C485" t="s">
        <v>1415</v>
      </c>
      <c r="D485" t="s">
        <v>3473</v>
      </c>
      <c r="E485" t="s">
        <v>3473</v>
      </c>
    </row>
    <row r="486" spans="1:5" ht="15" customHeight="1" x14ac:dyDescent="0.2">
      <c r="A486" s="55" t="s">
        <v>1406</v>
      </c>
      <c r="B486" s="55" t="s">
        <v>1406</v>
      </c>
      <c r="C486" t="s">
        <v>1407</v>
      </c>
      <c r="D486" t="s">
        <v>3473</v>
      </c>
      <c r="E486" t="s">
        <v>3473</v>
      </c>
    </row>
    <row r="487" spans="1:5" ht="15" customHeight="1" x14ac:dyDescent="0.2">
      <c r="A487" s="55" t="s">
        <v>1449</v>
      </c>
      <c r="B487" s="55" t="s">
        <v>1449</v>
      </c>
      <c r="C487" t="s">
        <v>1450</v>
      </c>
      <c r="D487" t="s">
        <v>3473</v>
      </c>
      <c r="E487" t="s">
        <v>3473</v>
      </c>
    </row>
    <row r="488" spans="1:5" ht="15" customHeight="1" x14ac:dyDescent="0.2">
      <c r="A488" s="55" t="s">
        <v>3572</v>
      </c>
      <c r="B488" s="55" t="s">
        <v>3572</v>
      </c>
      <c r="C488" t="s">
        <v>3573</v>
      </c>
      <c r="D488" t="s">
        <v>3473</v>
      </c>
      <c r="E488" t="s">
        <v>3473</v>
      </c>
    </row>
    <row r="489" spans="1:5" ht="15" customHeight="1" x14ac:dyDescent="0.2">
      <c r="A489" s="55" t="s">
        <v>3622</v>
      </c>
      <c r="B489" s="55" t="s">
        <v>3622</v>
      </c>
      <c r="C489" t="s">
        <v>3623</v>
      </c>
      <c r="D489" t="s">
        <v>3473</v>
      </c>
      <c r="E489" t="s">
        <v>3473</v>
      </c>
    </row>
    <row r="490" spans="1:5" ht="15" customHeight="1" x14ac:dyDescent="0.2">
      <c r="A490" s="27">
        <v>2000</v>
      </c>
      <c r="B490">
        <v>2000</v>
      </c>
      <c r="C490" t="s">
        <v>2070</v>
      </c>
      <c r="D490" t="s">
        <v>3474</v>
      </c>
      <c r="E490" t="s">
        <v>3467</v>
      </c>
    </row>
    <row r="491" spans="1:5" ht="15" customHeight="1" x14ac:dyDescent="0.2">
      <c r="A491" s="27">
        <v>2400</v>
      </c>
      <c r="B491">
        <v>2400</v>
      </c>
      <c r="C491" t="s">
        <v>2057</v>
      </c>
      <c r="D491" t="s">
        <v>3474</v>
      </c>
      <c r="E491" t="s">
        <v>3467</v>
      </c>
    </row>
    <row r="492" spans="1:5" ht="15" customHeight="1" x14ac:dyDescent="0.2">
      <c r="A492" s="27">
        <v>12100</v>
      </c>
      <c r="B492">
        <v>12100</v>
      </c>
      <c r="C492" t="s">
        <v>2060</v>
      </c>
      <c r="D492" t="s">
        <v>3474</v>
      </c>
      <c r="E492" t="s">
        <v>3467</v>
      </c>
    </row>
    <row r="493" spans="1:5" ht="15" customHeight="1" x14ac:dyDescent="0.2">
      <c r="A493" s="27">
        <v>18000</v>
      </c>
      <c r="B493">
        <v>18000</v>
      </c>
      <c r="C493" t="s">
        <v>2061</v>
      </c>
      <c r="D493" t="s">
        <v>3474</v>
      </c>
      <c r="E493" t="s">
        <v>3467</v>
      </c>
    </row>
    <row r="494" spans="1:5" ht="15" customHeight="1" x14ac:dyDescent="0.2">
      <c r="A494" s="27">
        <v>18500</v>
      </c>
      <c r="B494">
        <v>18500</v>
      </c>
      <c r="C494" t="s">
        <v>2064</v>
      </c>
      <c r="D494" t="s">
        <v>3474</v>
      </c>
      <c r="E494" t="s">
        <v>3467</v>
      </c>
    </row>
    <row r="495" spans="1:5" ht="15" customHeight="1" x14ac:dyDescent="0.2">
      <c r="A495" s="27">
        <v>18600</v>
      </c>
      <c r="B495">
        <v>18600</v>
      </c>
      <c r="C495" t="s">
        <v>2067</v>
      </c>
      <c r="D495" t="s">
        <v>3474</v>
      </c>
      <c r="E495" t="s">
        <v>3467</v>
      </c>
    </row>
    <row r="496" spans="1:5" ht="15" customHeight="1" x14ac:dyDescent="0.2">
      <c r="A496" s="27" t="s">
        <v>2062</v>
      </c>
      <c r="B496" t="s">
        <v>2062</v>
      </c>
      <c r="C496" t="s">
        <v>2063</v>
      </c>
      <c r="D496" t="s">
        <v>3474</v>
      </c>
      <c r="E496" t="s">
        <v>3467</v>
      </c>
    </row>
    <row r="497" spans="1:5" ht="15" customHeight="1" x14ac:dyDescent="0.2">
      <c r="A497" s="27" t="s">
        <v>2065</v>
      </c>
      <c r="B497" t="s">
        <v>2065</v>
      </c>
      <c r="C497" t="s">
        <v>2066</v>
      </c>
      <c r="D497" t="s">
        <v>3474</v>
      </c>
      <c r="E497" t="s">
        <v>3467</v>
      </c>
    </row>
    <row r="498" spans="1:5" ht="15" customHeight="1" x14ac:dyDescent="0.2">
      <c r="A498" s="27" t="s">
        <v>2068</v>
      </c>
      <c r="B498" t="s">
        <v>2068</v>
      </c>
      <c r="C498" t="s">
        <v>2069</v>
      </c>
      <c r="D498" t="s">
        <v>3474</v>
      </c>
      <c r="E498" t="s">
        <v>3467</v>
      </c>
    </row>
    <row r="499" spans="1:5" ht="15" customHeight="1" x14ac:dyDescent="0.2">
      <c r="A499" s="27" t="s">
        <v>2071</v>
      </c>
      <c r="B499" t="s">
        <v>2071</v>
      </c>
      <c r="C499" t="s">
        <v>2072</v>
      </c>
      <c r="D499" t="s">
        <v>3474</v>
      </c>
      <c r="E499" t="s">
        <v>3467</v>
      </c>
    </row>
    <row r="500" spans="1:5" ht="15" customHeight="1" x14ac:dyDescent="0.2">
      <c r="A500" s="27" t="s">
        <v>2058</v>
      </c>
      <c r="B500" t="s">
        <v>2058</v>
      </c>
      <c r="C500" t="s">
        <v>2059</v>
      </c>
      <c r="D500" t="s">
        <v>3474</v>
      </c>
      <c r="E500" t="s">
        <v>3467</v>
      </c>
    </row>
    <row r="501" spans="1:5" ht="15" customHeight="1" x14ac:dyDescent="0.2">
      <c r="A501" s="27">
        <v>76000</v>
      </c>
      <c r="B501">
        <v>76000</v>
      </c>
      <c r="C501" t="s">
        <v>846</v>
      </c>
      <c r="D501" t="s">
        <v>3474</v>
      </c>
      <c r="E501" t="s">
        <v>3467</v>
      </c>
    </row>
    <row r="502" spans="1:5" ht="15" customHeight="1" x14ac:dyDescent="0.2">
      <c r="A502" s="27">
        <v>63000</v>
      </c>
      <c r="B502">
        <v>63000</v>
      </c>
      <c r="C502" t="s">
        <v>918</v>
      </c>
      <c r="D502" t="s">
        <v>3474</v>
      </c>
      <c r="E502" t="s">
        <v>3467</v>
      </c>
    </row>
    <row r="503" spans="1:5" ht="15" customHeight="1" x14ac:dyDescent="0.2">
      <c r="A503" s="27">
        <v>18700</v>
      </c>
      <c r="B503">
        <v>18700</v>
      </c>
      <c r="C503" t="s">
        <v>3127</v>
      </c>
      <c r="D503" t="s">
        <v>3474</v>
      </c>
      <c r="E503" t="s">
        <v>3467</v>
      </c>
    </row>
    <row r="504" spans="1:5" ht="15" customHeight="1" x14ac:dyDescent="0.2">
      <c r="A504" s="27" t="s">
        <v>3455</v>
      </c>
      <c r="B504" t="s">
        <v>3456</v>
      </c>
      <c r="C504" t="s">
        <v>1732</v>
      </c>
      <c r="D504" t="s">
        <v>3459</v>
      </c>
      <c r="E504" t="s">
        <v>3461</v>
      </c>
    </row>
    <row r="505" spans="1:5" ht="15" customHeight="1" x14ac:dyDescent="0.2">
      <c r="A505" s="27" t="s">
        <v>3454</v>
      </c>
      <c r="B505" t="s">
        <v>3456</v>
      </c>
      <c r="C505" t="s">
        <v>3458</v>
      </c>
      <c r="D505" t="s">
        <v>3459</v>
      </c>
      <c r="E505" t="s">
        <v>3461</v>
      </c>
    </row>
    <row r="506" spans="1:5" ht="15" customHeight="1" x14ac:dyDescent="0.2">
      <c r="A506" s="27" t="s">
        <v>666</v>
      </c>
      <c r="B506" t="s">
        <v>3456</v>
      </c>
      <c r="C506" t="s">
        <v>667</v>
      </c>
      <c r="D506" t="s">
        <v>3459</v>
      </c>
      <c r="E506" t="s">
        <v>3461</v>
      </c>
    </row>
    <row r="507" spans="1:5" ht="15" customHeight="1" x14ac:dyDescent="0.2">
      <c r="A507" s="27" t="s">
        <v>3452</v>
      </c>
      <c r="B507" t="s">
        <v>3456</v>
      </c>
      <c r="C507" t="s">
        <v>1733</v>
      </c>
      <c r="D507" t="s">
        <v>3459</v>
      </c>
      <c r="E507" t="s">
        <v>3461</v>
      </c>
    </row>
    <row r="508" spans="1:5" ht="15" customHeight="1" x14ac:dyDescent="0.2">
      <c r="A508" s="27" t="s">
        <v>3453</v>
      </c>
      <c r="B508" t="s">
        <v>3456</v>
      </c>
      <c r="C508" t="s">
        <v>3457</v>
      </c>
      <c r="D508" t="s">
        <v>3459</v>
      </c>
      <c r="E508" t="s">
        <v>3461</v>
      </c>
    </row>
    <row r="509" spans="1:5" ht="15" customHeight="1" x14ac:dyDescent="0.2">
      <c r="A509" s="27" t="s">
        <v>2244</v>
      </c>
      <c r="B509" t="s">
        <v>2244</v>
      </c>
      <c r="C509" t="s">
        <v>2245</v>
      </c>
      <c r="D509" t="s">
        <v>3468</v>
      </c>
      <c r="E509" t="s">
        <v>3469</v>
      </c>
    </row>
    <row r="510" spans="1:5" ht="15" customHeight="1" x14ac:dyDescent="0.2">
      <c r="A510" s="27" t="s">
        <v>2246</v>
      </c>
      <c r="B510" t="s">
        <v>2246</v>
      </c>
      <c r="C510" t="s">
        <v>2247</v>
      </c>
      <c r="D510" t="s">
        <v>3468</v>
      </c>
      <c r="E510" t="s">
        <v>3469</v>
      </c>
    </row>
    <row r="511" spans="1:5" ht="15" customHeight="1" x14ac:dyDescent="0.2">
      <c r="A511" s="27" t="s">
        <v>2248</v>
      </c>
      <c r="B511" t="s">
        <v>2248</v>
      </c>
      <c r="C511" t="s">
        <v>2249</v>
      </c>
      <c r="D511" t="s">
        <v>3468</v>
      </c>
      <c r="E511" t="s">
        <v>3469</v>
      </c>
    </row>
    <row r="512" spans="1:5" ht="15" customHeight="1" x14ac:dyDescent="0.2">
      <c r="A512" s="27" t="s">
        <v>2250</v>
      </c>
      <c r="B512" t="s">
        <v>2250</v>
      </c>
      <c r="C512" t="s">
        <v>2251</v>
      </c>
      <c r="D512" t="s">
        <v>3468</v>
      </c>
      <c r="E512" t="s">
        <v>3469</v>
      </c>
    </row>
    <row r="513" spans="1:5" ht="15" customHeight="1" x14ac:dyDescent="0.2">
      <c r="A513" s="27" t="s">
        <v>2252</v>
      </c>
      <c r="B513" t="s">
        <v>2252</v>
      </c>
      <c r="C513" t="s">
        <v>2253</v>
      </c>
      <c r="D513" t="s">
        <v>3468</v>
      </c>
      <c r="E513" t="s">
        <v>3469</v>
      </c>
    </row>
    <row r="514" spans="1:5" ht="15" customHeight="1" x14ac:dyDescent="0.2">
      <c r="A514" s="27" t="s">
        <v>2254</v>
      </c>
      <c r="B514" t="s">
        <v>2254</v>
      </c>
      <c r="C514" t="s">
        <v>2255</v>
      </c>
      <c r="D514" t="s">
        <v>3468</v>
      </c>
      <c r="E514" t="s">
        <v>3469</v>
      </c>
    </row>
    <row r="515" spans="1:5" ht="15" customHeight="1" x14ac:dyDescent="0.2">
      <c r="A515" s="27" t="s">
        <v>2256</v>
      </c>
      <c r="B515" t="s">
        <v>2256</v>
      </c>
      <c r="C515" t="s">
        <v>2257</v>
      </c>
      <c r="D515" t="s">
        <v>3468</v>
      </c>
      <c r="E515" t="s">
        <v>3469</v>
      </c>
    </row>
    <row r="516" spans="1:5" ht="15" customHeight="1" x14ac:dyDescent="0.2">
      <c r="A516" s="27" t="s">
        <v>2258</v>
      </c>
      <c r="B516" t="s">
        <v>2258</v>
      </c>
      <c r="C516" t="s">
        <v>2259</v>
      </c>
      <c r="D516" t="s">
        <v>3468</v>
      </c>
      <c r="E516" t="s">
        <v>3469</v>
      </c>
    </row>
    <row r="517" spans="1:5" ht="15" customHeight="1" x14ac:dyDescent="0.2">
      <c r="A517" s="27" t="s">
        <v>2260</v>
      </c>
      <c r="B517" t="s">
        <v>2260</v>
      </c>
      <c r="C517" t="s">
        <v>2261</v>
      </c>
      <c r="D517" t="s">
        <v>3468</v>
      </c>
      <c r="E517" t="s">
        <v>3469</v>
      </c>
    </row>
    <row r="518" spans="1:5" ht="15" customHeight="1" x14ac:dyDescent="0.2">
      <c r="A518" s="27" t="s">
        <v>2262</v>
      </c>
      <c r="B518" t="s">
        <v>2262</v>
      </c>
      <c r="C518" t="s">
        <v>2263</v>
      </c>
      <c r="D518" t="s">
        <v>3468</v>
      </c>
      <c r="E518" t="s">
        <v>3469</v>
      </c>
    </row>
    <row r="519" spans="1:5" ht="15" customHeight="1" x14ac:dyDescent="0.2">
      <c r="A519" s="27" t="s">
        <v>2264</v>
      </c>
      <c r="B519" t="s">
        <v>2264</v>
      </c>
      <c r="C519" t="s">
        <v>2265</v>
      </c>
      <c r="D519" t="s">
        <v>3468</v>
      </c>
      <c r="E519" t="s">
        <v>3469</v>
      </c>
    </row>
    <row r="520" spans="1:5" ht="15" customHeight="1" x14ac:dyDescent="0.2">
      <c r="A520" s="27" t="s">
        <v>2266</v>
      </c>
      <c r="B520" t="s">
        <v>2266</v>
      </c>
      <c r="C520" t="s">
        <v>2267</v>
      </c>
      <c r="D520" t="s">
        <v>3468</v>
      </c>
      <c r="E520" t="s">
        <v>3469</v>
      </c>
    </row>
    <row r="521" spans="1:5" ht="15" customHeight="1" x14ac:dyDescent="0.2">
      <c r="A521" s="27" t="s">
        <v>2268</v>
      </c>
      <c r="B521" t="s">
        <v>2268</v>
      </c>
      <c r="C521" t="s">
        <v>2269</v>
      </c>
      <c r="D521" t="s">
        <v>3468</v>
      </c>
      <c r="E521" t="s">
        <v>3469</v>
      </c>
    </row>
    <row r="522" spans="1:5" ht="15" customHeight="1" x14ac:dyDescent="0.2">
      <c r="A522" s="27" t="s">
        <v>2270</v>
      </c>
      <c r="B522" t="s">
        <v>2270</v>
      </c>
      <c r="C522" t="s">
        <v>2271</v>
      </c>
      <c r="D522" t="s">
        <v>3468</v>
      </c>
      <c r="E522" t="s">
        <v>3469</v>
      </c>
    </row>
    <row r="523" spans="1:5" ht="15" customHeight="1" x14ac:dyDescent="0.2">
      <c r="A523" s="27" t="s">
        <v>2272</v>
      </c>
      <c r="B523" t="s">
        <v>2272</v>
      </c>
      <c r="C523" t="s">
        <v>2273</v>
      </c>
      <c r="D523" t="s">
        <v>3468</v>
      </c>
      <c r="E523" t="s">
        <v>3469</v>
      </c>
    </row>
    <row r="524" spans="1:5" ht="15" customHeight="1" x14ac:dyDescent="0.2">
      <c r="A524" s="27" t="s">
        <v>2274</v>
      </c>
      <c r="B524" t="s">
        <v>2274</v>
      </c>
      <c r="C524" t="s">
        <v>2275</v>
      </c>
      <c r="D524" t="s">
        <v>3468</v>
      </c>
      <c r="E524" t="s">
        <v>3469</v>
      </c>
    </row>
    <row r="525" spans="1:5" ht="15" customHeight="1" x14ac:dyDescent="0.2">
      <c r="A525" s="27" t="s">
        <v>2276</v>
      </c>
      <c r="B525" t="s">
        <v>2276</v>
      </c>
      <c r="C525" t="s">
        <v>2277</v>
      </c>
      <c r="D525" t="s">
        <v>3468</v>
      </c>
      <c r="E525" t="s">
        <v>3469</v>
      </c>
    </row>
    <row r="526" spans="1:5" ht="15" customHeight="1" x14ac:dyDescent="0.2">
      <c r="A526" s="27" t="s">
        <v>2278</v>
      </c>
      <c r="B526" t="s">
        <v>2278</v>
      </c>
      <c r="C526" t="s">
        <v>2279</v>
      </c>
      <c r="D526" t="s">
        <v>3468</v>
      </c>
      <c r="E526" t="s">
        <v>3469</v>
      </c>
    </row>
    <row r="527" spans="1:5" ht="15" customHeight="1" x14ac:dyDescent="0.2">
      <c r="A527" s="27" t="s">
        <v>2280</v>
      </c>
      <c r="B527" t="s">
        <v>2280</v>
      </c>
      <c r="C527" t="s">
        <v>2281</v>
      </c>
      <c r="D527" t="s">
        <v>3468</v>
      </c>
      <c r="E527" t="s">
        <v>3469</v>
      </c>
    </row>
    <row r="528" spans="1:5" ht="15" customHeight="1" x14ac:dyDescent="0.2">
      <c r="A528" s="27" t="s">
        <v>2282</v>
      </c>
      <c r="B528" t="s">
        <v>2282</v>
      </c>
      <c r="C528" t="s">
        <v>2283</v>
      </c>
      <c r="D528" t="s">
        <v>3468</v>
      </c>
      <c r="E528" t="s">
        <v>3469</v>
      </c>
    </row>
    <row r="529" spans="1:5" ht="15" customHeight="1" x14ac:dyDescent="0.2">
      <c r="A529" s="27" t="s">
        <v>2284</v>
      </c>
      <c r="B529" t="s">
        <v>2284</v>
      </c>
      <c r="C529" t="s">
        <v>229</v>
      </c>
      <c r="D529" t="s">
        <v>3468</v>
      </c>
      <c r="E529" t="s">
        <v>3469</v>
      </c>
    </row>
    <row r="530" spans="1:5" ht="15" customHeight="1" x14ac:dyDescent="0.2">
      <c r="A530" s="27" t="s">
        <v>2285</v>
      </c>
      <c r="B530" t="s">
        <v>2285</v>
      </c>
      <c r="C530" t="s">
        <v>2286</v>
      </c>
      <c r="D530" t="s">
        <v>3468</v>
      </c>
      <c r="E530" t="s">
        <v>3469</v>
      </c>
    </row>
    <row r="531" spans="1:5" ht="15" customHeight="1" x14ac:dyDescent="0.2">
      <c r="A531" s="27" t="s">
        <v>2287</v>
      </c>
      <c r="B531" t="s">
        <v>2287</v>
      </c>
      <c r="C531" t="s">
        <v>2288</v>
      </c>
      <c r="D531" t="s">
        <v>3468</v>
      </c>
      <c r="E531" t="s">
        <v>3469</v>
      </c>
    </row>
    <row r="532" spans="1:5" ht="15" customHeight="1" x14ac:dyDescent="0.2">
      <c r="A532" s="27" t="s">
        <v>2289</v>
      </c>
      <c r="B532" t="s">
        <v>2289</v>
      </c>
      <c r="C532" t="s">
        <v>2290</v>
      </c>
      <c r="D532" t="s">
        <v>3468</v>
      </c>
      <c r="E532" t="s">
        <v>3469</v>
      </c>
    </row>
    <row r="533" spans="1:5" ht="15" customHeight="1" x14ac:dyDescent="0.2">
      <c r="A533" s="27" t="s">
        <v>2291</v>
      </c>
      <c r="B533" t="s">
        <v>2291</v>
      </c>
      <c r="C533" t="s">
        <v>2292</v>
      </c>
      <c r="D533" t="s">
        <v>3468</v>
      </c>
      <c r="E533" t="s">
        <v>3469</v>
      </c>
    </row>
    <row r="534" spans="1:5" ht="15" customHeight="1" x14ac:dyDescent="0.2">
      <c r="A534" s="27" t="s">
        <v>2293</v>
      </c>
      <c r="B534" t="s">
        <v>2293</v>
      </c>
      <c r="C534" t="s">
        <v>2294</v>
      </c>
      <c r="D534" t="s">
        <v>3468</v>
      </c>
      <c r="E534" t="s">
        <v>3469</v>
      </c>
    </row>
    <row r="535" spans="1:5" ht="15" customHeight="1" x14ac:dyDescent="0.2">
      <c r="A535" s="27" t="s">
        <v>2295</v>
      </c>
      <c r="B535" t="s">
        <v>2295</v>
      </c>
      <c r="C535" t="s">
        <v>2296</v>
      </c>
      <c r="D535" t="s">
        <v>3468</v>
      </c>
      <c r="E535" t="s">
        <v>3469</v>
      </c>
    </row>
    <row r="536" spans="1:5" ht="15" customHeight="1" x14ac:dyDescent="0.2">
      <c r="A536" s="27" t="s">
        <v>2297</v>
      </c>
      <c r="B536" t="s">
        <v>2297</v>
      </c>
      <c r="C536" t="s">
        <v>2298</v>
      </c>
      <c r="D536" t="s">
        <v>3468</v>
      </c>
      <c r="E536" t="s">
        <v>3469</v>
      </c>
    </row>
    <row r="537" spans="1:5" ht="15" customHeight="1" x14ac:dyDescent="0.2">
      <c r="A537" s="27" t="s">
        <v>2299</v>
      </c>
      <c r="B537" t="s">
        <v>2299</v>
      </c>
      <c r="C537" t="s">
        <v>2300</v>
      </c>
      <c r="D537" t="s">
        <v>3468</v>
      </c>
      <c r="E537" t="s">
        <v>3469</v>
      </c>
    </row>
    <row r="538" spans="1:5" ht="15" customHeight="1" x14ac:dyDescent="0.2">
      <c r="A538" s="27" t="s">
        <v>2301</v>
      </c>
      <c r="B538" t="s">
        <v>2301</v>
      </c>
      <c r="C538" t="s">
        <v>2302</v>
      </c>
      <c r="D538" t="s">
        <v>3468</v>
      </c>
      <c r="E538" t="s">
        <v>3469</v>
      </c>
    </row>
    <row r="539" spans="1:5" ht="15" customHeight="1" x14ac:dyDescent="0.2">
      <c r="A539" s="27" t="s">
        <v>2303</v>
      </c>
      <c r="B539" t="s">
        <v>2303</v>
      </c>
      <c r="C539" t="s">
        <v>2304</v>
      </c>
      <c r="D539" t="s">
        <v>3468</v>
      </c>
      <c r="E539" t="s">
        <v>3469</v>
      </c>
    </row>
    <row r="540" spans="1:5" ht="15" customHeight="1" x14ac:dyDescent="0.2">
      <c r="A540" s="27" t="s">
        <v>2305</v>
      </c>
      <c r="B540" t="s">
        <v>2305</v>
      </c>
      <c r="C540" t="s">
        <v>2306</v>
      </c>
      <c r="D540" t="s">
        <v>3468</v>
      </c>
      <c r="E540" t="s">
        <v>3469</v>
      </c>
    </row>
    <row r="541" spans="1:5" ht="15" customHeight="1" x14ac:dyDescent="0.2">
      <c r="A541" s="27" t="s">
        <v>2307</v>
      </c>
      <c r="B541" t="s">
        <v>2307</v>
      </c>
      <c r="C541" t="s">
        <v>2308</v>
      </c>
      <c r="D541" t="s">
        <v>3468</v>
      </c>
      <c r="E541" t="s">
        <v>3469</v>
      </c>
    </row>
    <row r="542" spans="1:5" ht="15" customHeight="1" x14ac:dyDescent="0.2">
      <c r="A542" s="27" t="s">
        <v>2309</v>
      </c>
      <c r="B542" t="s">
        <v>2309</v>
      </c>
      <c r="C542" t="s">
        <v>2310</v>
      </c>
      <c r="D542" t="s">
        <v>3468</v>
      </c>
      <c r="E542" t="s">
        <v>3469</v>
      </c>
    </row>
    <row r="543" spans="1:5" ht="15" customHeight="1" x14ac:dyDescent="0.2">
      <c r="A543" s="27" t="s">
        <v>2311</v>
      </c>
      <c r="B543" t="s">
        <v>2311</v>
      </c>
      <c r="C543" t="s">
        <v>2312</v>
      </c>
      <c r="D543" t="s">
        <v>3468</v>
      </c>
      <c r="E543" t="s">
        <v>3469</v>
      </c>
    </row>
    <row r="544" spans="1:5" ht="15" customHeight="1" x14ac:dyDescent="0.2">
      <c r="A544" s="27" t="s">
        <v>2313</v>
      </c>
      <c r="B544" t="s">
        <v>2313</v>
      </c>
      <c r="C544" t="s">
        <v>2314</v>
      </c>
      <c r="D544" t="s">
        <v>3468</v>
      </c>
      <c r="E544" t="s">
        <v>3469</v>
      </c>
    </row>
    <row r="545" spans="1:5" ht="15" customHeight="1" x14ac:dyDescent="0.2">
      <c r="A545" s="27" t="s">
        <v>2315</v>
      </c>
      <c r="B545" t="s">
        <v>2315</v>
      </c>
      <c r="C545" t="s">
        <v>2316</v>
      </c>
      <c r="D545" t="s">
        <v>3468</v>
      </c>
      <c r="E545" t="s">
        <v>3469</v>
      </c>
    </row>
    <row r="546" spans="1:5" ht="15" customHeight="1" x14ac:dyDescent="0.2">
      <c r="A546" s="27" t="s">
        <v>2317</v>
      </c>
      <c r="B546" t="s">
        <v>2317</v>
      </c>
      <c r="C546" t="s">
        <v>2318</v>
      </c>
      <c r="D546" t="s">
        <v>3468</v>
      </c>
      <c r="E546" t="s">
        <v>3469</v>
      </c>
    </row>
    <row r="547" spans="1:5" ht="15" customHeight="1" x14ac:dyDescent="0.2">
      <c r="A547" s="27" t="s">
        <v>2319</v>
      </c>
      <c r="B547" t="s">
        <v>2319</v>
      </c>
      <c r="C547" t="s">
        <v>2320</v>
      </c>
      <c r="D547" t="s">
        <v>3468</v>
      </c>
      <c r="E547" t="s">
        <v>3469</v>
      </c>
    </row>
    <row r="548" spans="1:5" ht="15" customHeight="1" x14ac:dyDescent="0.2">
      <c r="A548" s="27" t="s">
        <v>2321</v>
      </c>
      <c r="B548" t="s">
        <v>2321</v>
      </c>
      <c r="C548" t="s">
        <v>2322</v>
      </c>
      <c r="D548" t="s">
        <v>3468</v>
      </c>
      <c r="E548" t="s">
        <v>3469</v>
      </c>
    </row>
    <row r="549" spans="1:5" ht="15" customHeight="1" x14ac:dyDescent="0.2">
      <c r="A549" s="27" t="s">
        <v>2323</v>
      </c>
      <c r="B549" t="s">
        <v>2323</v>
      </c>
      <c r="C549" t="s">
        <v>2324</v>
      </c>
      <c r="D549" t="s">
        <v>3468</v>
      </c>
      <c r="E549" t="s">
        <v>3469</v>
      </c>
    </row>
    <row r="550" spans="1:5" ht="15" customHeight="1" x14ac:dyDescent="0.2">
      <c r="A550" s="27" t="s">
        <v>2325</v>
      </c>
      <c r="B550" t="s">
        <v>2325</v>
      </c>
      <c r="C550" t="s">
        <v>2326</v>
      </c>
      <c r="D550" t="s">
        <v>3468</v>
      </c>
      <c r="E550" t="s">
        <v>3469</v>
      </c>
    </row>
    <row r="551" spans="1:5" ht="15" customHeight="1" x14ac:dyDescent="0.2">
      <c r="A551" s="27" t="s">
        <v>2327</v>
      </c>
      <c r="B551" t="s">
        <v>2327</v>
      </c>
      <c r="C551" t="s">
        <v>2328</v>
      </c>
      <c r="D551" t="s">
        <v>3468</v>
      </c>
      <c r="E551" t="s">
        <v>3469</v>
      </c>
    </row>
    <row r="552" spans="1:5" ht="15" customHeight="1" x14ac:dyDescent="0.2">
      <c r="A552" s="27" t="s">
        <v>2329</v>
      </c>
      <c r="B552" t="s">
        <v>2329</v>
      </c>
      <c r="C552" t="s">
        <v>2330</v>
      </c>
      <c r="D552" t="s">
        <v>3468</v>
      </c>
      <c r="E552" t="s">
        <v>3469</v>
      </c>
    </row>
    <row r="553" spans="1:5" ht="15" customHeight="1" x14ac:dyDescent="0.2">
      <c r="A553" s="27" t="s">
        <v>2331</v>
      </c>
      <c r="B553" t="s">
        <v>2331</v>
      </c>
      <c r="C553" t="s">
        <v>2332</v>
      </c>
      <c r="D553" t="s">
        <v>3468</v>
      </c>
      <c r="E553" t="s">
        <v>3469</v>
      </c>
    </row>
    <row r="554" spans="1:5" ht="15" customHeight="1" x14ac:dyDescent="0.2">
      <c r="A554" s="27" t="s">
        <v>2333</v>
      </c>
      <c r="B554" t="s">
        <v>2333</v>
      </c>
      <c r="C554" t="s">
        <v>2334</v>
      </c>
      <c r="D554" t="s">
        <v>3468</v>
      </c>
      <c r="E554" t="s">
        <v>3469</v>
      </c>
    </row>
    <row r="555" spans="1:5" ht="15" customHeight="1" x14ac:dyDescent="0.2">
      <c r="A555" s="27" t="s">
        <v>2335</v>
      </c>
      <c r="B555" t="s">
        <v>2335</v>
      </c>
      <c r="C555" t="s">
        <v>2336</v>
      </c>
      <c r="D555" t="s">
        <v>3468</v>
      </c>
      <c r="E555" t="s">
        <v>3469</v>
      </c>
    </row>
    <row r="556" spans="1:5" ht="15" customHeight="1" x14ac:dyDescent="0.2">
      <c r="A556" s="27" t="s">
        <v>2337</v>
      </c>
      <c r="B556" t="s">
        <v>2337</v>
      </c>
      <c r="C556" t="s">
        <v>928</v>
      </c>
      <c r="D556" t="s">
        <v>3468</v>
      </c>
      <c r="E556" t="s">
        <v>3469</v>
      </c>
    </row>
    <row r="557" spans="1:5" ht="15" customHeight="1" x14ac:dyDescent="0.2">
      <c r="A557" s="27" t="s">
        <v>929</v>
      </c>
      <c r="B557" t="s">
        <v>929</v>
      </c>
      <c r="C557" t="s">
        <v>930</v>
      </c>
      <c r="D557" t="s">
        <v>3468</v>
      </c>
      <c r="E557" t="s">
        <v>3469</v>
      </c>
    </row>
    <row r="558" spans="1:5" ht="15" customHeight="1" x14ac:dyDescent="0.2">
      <c r="A558" s="27" t="s">
        <v>931</v>
      </c>
      <c r="B558" t="s">
        <v>931</v>
      </c>
      <c r="C558" t="s">
        <v>932</v>
      </c>
      <c r="D558" t="s">
        <v>3468</v>
      </c>
      <c r="E558" t="s">
        <v>3469</v>
      </c>
    </row>
    <row r="559" spans="1:5" ht="15" customHeight="1" x14ac:dyDescent="0.2">
      <c r="A559" s="27" t="s">
        <v>933</v>
      </c>
      <c r="B559" t="s">
        <v>933</v>
      </c>
      <c r="C559" t="s">
        <v>934</v>
      </c>
      <c r="D559" t="s">
        <v>3468</v>
      </c>
      <c r="E559" t="s">
        <v>3469</v>
      </c>
    </row>
    <row r="560" spans="1:5" ht="15" customHeight="1" x14ac:dyDescent="0.2">
      <c r="A560" s="27" t="s">
        <v>935</v>
      </c>
      <c r="B560" t="s">
        <v>935</v>
      </c>
      <c r="C560" t="s">
        <v>936</v>
      </c>
      <c r="D560" t="s">
        <v>3468</v>
      </c>
      <c r="E560" t="s">
        <v>3469</v>
      </c>
    </row>
    <row r="561" spans="1:5" ht="15" customHeight="1" x14ac:dyDescent="0.2">
      <c r="A561" s="27" t="s">
        <v>937</v>
      </c>
      <c r="B561" t="s">
        <v>937</v>
      </c>
      <c r="C561" t="s">
        <v>938</v>
      </c>
      <c r="D561" t="s">
        <v>3468</v>
      </c>
      <c r="E561" t="s">
        <v>3469</v>
      </c>
    </row>
    <row r="562" spans="1:5" ht="15" customHeight="1" x14ac:dyDescent="0.2">
      <c r="A562" s="27" t="s">
        <v>939</v>
      </c>
      <c r="B562" t="s">
        <v>939</v>
      </c>
      <c r="C562" t="s">
        <v>940</v>
      </c>
      <c r="D562" t="s">
        <v>3468</v>
      </c>
      <c r="E562" t="s">
        <v>3469</v>
      </c>
    </row>
    <row r="563" spans="1:5" ht="15" customHeight="1" x14ac:dyDescent="0.2">
      <c r="A563" s="27" t="s">
        <v>941</v>
      </c>
      <c r="B563" t="s">
        <v>941</v>
      </c>
      <c r="C563" t="s">
        <v>942</v>
      </c>
      <c r="D563" t="s">
        <v>3468</v>
      </c>
      <c r="E563" t="s">
        <v>3469</v>
      </c>
    </row>
    <row r="564" spans="1:5" ht="15" customHeight="1" x14ac:dyDescent="0.2">
      <c r="A564" s="27" t="s">
        <v>943</v>
      </c>
      <c r="B564" t="s">
        <v>943</v>
      </c>
      <c r="C564" t="s">
        <v>944</v>
      </c>
      <c r="D564" t="s">
        <v>3468</v>
      </c>
      <c r="E564" t="s">
        <v>3469</v>
      </c>
    </row>
    <row r="565" spans="1:5" ht="15" customHeight="1" x14ac:dyDescent="0.2">
      <c r="A565" s="27" t="s">
        <v>945</v>
      </c>
      <c r="B565" t="s">
        <v>945</v>
      </c>
      <c r="C565" t="s">
        <v>946</v>
      </c>
      <c r="D565" t="s">
        <v>3468</v>
      </c>
      <c r="E565" t="s">
        <v>3469</v>
      </c>
    </row>
    <row r="566" spans="1:5" ht="15" customHeight="1" x14ac:dyDescent="0.2">
      <c r="A566" s="27" t="s">
        <v>74</v>
      </c>
      <c r="B566" t="s">
        <v>74</v>
      </c>
      <c r="C566" t="s">
        <v>76</v>
      </c>
      <c r="D566" t="s">
        <v>3468</v>
      </c>
      <c r="E566" t="s">
        <v>3469</v>
      </c>
    </row>
    <row r="567" spans="1:5" ht="15" customHeight="1" x14ac:dyDescent="0.2">
      <c r="A567" s="27" t="s">
        <v>75</v>
      </c>
      <c r="B567" t="s">
        <v>75</v>
      </c>
      <c r="C567" t="s">
        <v>77</v>
      </c>
      <c r="D567" t="s">
        <v>3468</v>
      </c>
      <c r="E567" t="s">
        <v>3469</v>
      </c>
    </row>
    <row r="568" spans="1:5" ht="15" customHeight="1" x14ac:dyDescent="0.2">
      <c r="A568" s="27" t="s">
        <v>947</v>
      </c>
      <c r="B568" t="s">
        <v>947</v>
      </c>
      <c r="C568" t="s">
        <v>210</v>
      </c>
      <c r="D568" t="s">
        <v>3468</v>
      </c>
      <c r="E568" t="s">
        <v>3469</v>
      </c>
    </row>
    <row r="569" spans="1:5" ht="15" customHeight="1" x14ac:dyDescent="0.2">
      <c r="A569" s="27" t="s">
        <v>948</v>
      </c>
      <c r="B569" t="s">
        <v>948</v>
      </c>
      <c r="C569" t="s">
        <v>949</v>
      </c>
      <c r="D569" t="s">
        <v>3468</v>
      </c>
      <c r="E569" t="s">
        <v>3469</v>
      </c>
    </row>
    <row r="570" spans="1:5" ht="15" customHeight="1" x14ac:dyDescent="0.2">
      <c r="A570" s="27" t="s">
        <v>950</v>
      </c>
      <c r="B570" t="s">
        <v>950</v>
      </c>
      <c r="C570" t="s">
        <v>951</v>
      </c>
      <c r="D570" t="s">
        <v>3468</v>
      </c>
      <c r="E570" t="s">
        <v>3469</v>
      </c>
    </row>
    <row r="571" spans="1:5" ht="15" customHeight="1" x14ac:dyDescent="0.2">
      <c r="A571" s="27" t="s">
        <v>952</v>
      </c>
      <c r="B571" t="s">
        <v>952</v>
      </c>
      <c r="C571" t="s">
        <v>953</v>
      </c>
      <c r="D571" t="s">
        <v>3468</v>
      </c>
      <c r="E571" t="s">
        <v>3469</v>
      </c>
    </row>
    <row r="572" spans="1:5" ht="15" customHeight="1" x14ac:dyDescent="0.2">
      <c r="A572" s="27" t="s">
        <v>954</v>
      </c>
      <c r="B572" t="s">
        <v>954</v>
      </c>
      <c r="C572" t="s">
        <v>955</v>
      </c>
      <c r="D572" t="s">
        <v>3468</v>
      </c>
      <c r="E572" t="s">
        <v>3469</v>
      </c>
    </row>
    <row r="573" spans="1:5" ht="15" customHeight="1" x14ac:dyDescent="0.2">
      <c r="A573" s="27" t="s">
        <v>956</v>
      </c>
      <c r="B573" t="s">
        <v>956</v>
      </c>
      <c r="C573" t="s">
        <v>957</v>
      </c>
      <c r="D573" t="s">
        <v>3468</v>
      </c>
      <c r="E573" t="s">
        <v>3469</v>
      </c>
    </row>
    <row r="574" spans="1:5" ht="15" customHeight="1" x14ac:dyDescent="0.2">
      <c r="A574" s="27" t="s">
        <v>958</v>
      </c>
      <c r="B574" t="s">
        <v>958</v>
      </c>
      <c r="C574" t="s">
        <v>959</v>
      </c>
      <c r="D574" t="s">
        <v>3468</v>
      </c>
      <c r="E574" t="s">
        <v>3469</v>
      </c>
    </row>
    <row r="575" spans="1:5" ht="15" customHeight="1" x14ac:dyDescent="0.2">
      <c r="A575" s="27" t="s">
        <v>960</v>
      </c>
      <c r="B575" t="s">
        <v>960</v>
      </c>
      <c r="C575" t="s">
        <v>961</v>
      </c>
      <c r="D575" t="s">
        <v>3468</v>
      </c>
      <c r="E575" t="s">
        <v>3469</v>
      </c>
    </row>
    <row r="576" spans="1:5" ht="15" customHeight="1" x14ac:dyDescent="0.2">
      <c r="A576" s="27" t="s">
        <v>962</v>
      </c>
      <c r="B576" t="s">
        <v>962</v>
      </c>
      <c r="C576" t="s">
        <v>963</v>
      </c>
      <c r="D576" t="s">
        <v>3468</v>
      </c>
      <c r="E576" t="s">
        <v>3469</v>
      </c>
    </row>
    <row r="577" spans="1:5" ht="15" customHeight="1" x14ac:dyDescent="0.2">
      <c r="A577" s="27" t="s">
        <v>964</v>
      </c>
      <c r="B577" t="s">
        <v>964</v>
      </c>
      <c r="C577" t="s">
        <v>965</v>
      </c>
      <c r="D577" t="s">
        <v>3468</v>
      </c>
      <c r="E577" t="s">
        <v>3469</v>
      </c>
    </row>
    <row r="578" spans="1:5" ht="15" customHeight="1" x14ac:dyDescent="0.2">
      <c r="A578" s="27" t="s">
        <v>966</v>
      </c>
      <c r="B578" t="s">
        <v>966</v>
      </c>
      <c r="C578" t="s">
        <v>967</v>
      </c>
      <c r="D578" t="s">
        <v>3468</v>
      </c>
      <c r="E578" t="s">
        <v>3469</v>
      </c>
    </row>
    <row r="579" spans="1:5" ht="15" customHeight="1" x14ac:dyDescent="0.2">
      <c r="A579" s="27" t="s">
        <v>968</v>
      </c>
      <c r="B579" t="s">
        <v>968</v>
      </c>
      <c r="C579" t="s">
        <v>969</v>
      </c>
      <c r="D579" t="s">
        <v>3468</v>
      </c>
      <c r="E579" t="s">
        <v>3469</v>
      </c>
    </row>
    <row r="580" spans="1:5" ht="15" customHeight="1" x14ac:dyDescent="0.2">
      <c r="A580" s="27" t="s">
        <v>970</v>
      </c>
      <c r="B580" t="s">
        <v>970</v>
      </c>
      <c r="C580" t="s">
        <v>971</v>
      </c>
      <c r="D580" t="s">
        <v>3468</v>
      </c>
      <c r="E580" t="s">
        <v>3469</v>
      </c>
    </row>
    <row r="581" spans="1:5" ht="15" customHeight="1" x14ac:dyDescent="0.2">
      <c r="A581" s="27" t="s">
        <v>972</v>
      </c>
      <c r="B581" t="s">
        <v>972</v>
      </c>
      <c r="C581" t="s">
        <v>973</v>
      </c>
      <c r="D581" t="s">
        <v>3468</v>
      </c>
      <c r="E581" t="s">
        <v>3469</v>
      </c>
    </row>
    <row r="582" spans="1:5" ht="15" customHeight="1" x14ac:dyDescent="0.2">
      <c r="A582" s="27" t="s">
        <v>974</v>
      </c>
      <c r="B582" t="s">
        <v>974</v>
      </c>
      <c r="C582" t="s">
        <v>975</v>
      </c>
      <c r="D582" t="s">
        <v>3468</v>
      </c>
      <c r="E582" t="s">
        <v>3469</v>
      </c>
    </row>
    <row r="583" spans="1:5" ht="15" customHeight="1" x14ac:dyDescent="0.2">
      <c r="A583" s="27" t="s">
        <v>976</v>
      </c>
      <c r="B583" t="s">
        <v>976</v>
      </c>
      <c r="C583" t="s">
        <v>977</v>
      </c>
      <c r="D583" t="s">
        <v>3468</v>
      </c>
      <c r="E583" t="s">
        <v>3469</v>
      </c>
    </row>
    <row r="584" spans="1:5" ht="15" customHeight="1" x14ac:dyDescent="0.2">
      <c r="A584" s="27" t="s">
        <v>978</v>
      </c>
      <c r="B584" t="s">
        <v>978</v>
      </c>
      <c r="C584" t="s">
        <v>979</v>
      </c>
      <c r="D584" t="s">
        <v>3468</v>
      </c>
      <c r="E584" t="s">
        <v>3469</v>
      </c>
    </row>
    <row r="585" spans="1:5" ht="15" customHeight="1" x14ac:dyDescent="0.2">
      <c r="A585" s="27" t="s">
        <v>980</v>
      </c>
      <c r="B585" t="s">
        <v>980</v>
      </c>
      <c r="C585" t="s">
        <v>981</v>
      </c>
      <c r="D585" t="s">
        <v>3468</v>
      </c>
      <c r="E585" t="s">
        <v>3469</v>
      </c>
    </row>
    <row r="586" spans="1:5" ht="15" customHeight="1" x14ac:dyDescent="0.2">
      <c r="A586" s="27" t="s">
        <v>982</v>
      </c>
      <c r="B586" t="s">
        <v>982</v>
      </c>
      <c r="C586" t="s">
        <v>983</v>
      </c>
      <c r="D586" t="s">
        <v>3468</v>
      </c>
      <c r="E586" t="s">
        <v>3469</v>
      </c>
    </row>
    <row r="587" spans="1:5" ht="15" customHeight="1" x14ac:dyDescent="0.2">
      <c r="A587" s="27" t="s">
        <v>984</v>
      </c>
      <c r="B587" t="s">
        <v>984</v>
      </c>
      <c r="C587" t="s">
        <v>985</v>
      </c>
      <c r="D587" t="s">
        <v>3468</v>
      </c>
      <c r="E587" t="s">
        <v>3469</v>
      </c>
    </row>
    <row r="588" spans="1:5" ht="15" customHeight="1" x14ac:dyDescent="0.2">
      <c r="A588" s="27" t="s">
        <v>986</v>
      </c>
      <c r="B588" t="s">
        <v>986</v>
      </c>
      <c r="C588" t="s">
        <v>987</v>
      </c>
      <c r="D588" t="s">
        <v>3468</v>
      </c>
      <c r="E588" t="s">
        <v>3469</v>
      </c>
    </row>
    <row r="589" spans="1:5" ht="15" customHeight="1" x14ac:dyDescent="0.2">
      <c r="A589" s="27" t="s">
        <v>988</v>
      </c>
      <c r="B589" t="s">
        <v>988</v>
      </c>
      <c r="C589" t="s">
        <v>989</v>
      </c>
      <c r="D589" t="s">
        <v>3468</v>
      </c>
      <c r="E589" t="s">
        <v>3469</v>
      </c>
    </row>
    <row r="590" spans="1:5" ht="15" customHeight="1" x14ac:dyDescent="0.2">
      <c r="A590" s="27" t="s">
        <v>990</v>
      </c>
      <c r="B590" t="s">
        <v>990</v>
      </c>
      <c r="C590" t="s">
        <v>991</v>
      </c>
      <c r="D590" t="s">
        <v>3468</v>
      </c>
      <c r="E590" t="s">
        <v>3469</v>
      </c>
    </row>
    <row r="591" spans="1:5" ht="15" customHeight="1" x14ac:dyDescent="0.2">
      <c r="A591" s="27" t="s">
        <v>992</v>
      </c>
      <c r="B591" t="s">
        <v>992</v>
      </c>
      <c r="C591" t="s">
        <v>993</v>
      </c>
      <c r="D591" t="s">
        <v>3468</v>
      </c>
      <c r="E591" t="s">
        <v>3469</v>
      </c>
    </row>
    <row r="592" spans="1:5" ht="15" customHeight="1" x14ac:dyDescent="0.2">
      <c r="A592" s="27" t="s">
        <v>994</v>
      </c>
      <c r="B592" t="s">
        <v>994</v>
      </c>
      <c r="C592" t="s">
        <v>995</v>
      </c>
      <c r="D592" t="s">
        <v>3468</v>
      </c>
      <c r="E592" t="s">
        <v>3469</v>
      </c>
    </row>
    <row r="593" spans="1:5" ht="15" customHeight="1" x14ac:dyDescent="0.2">
      <c r="A593" s="27" t="s">
        <v>996</v>
      </c>
      <c r="B593" t="s">
        <v>996</v>
      </c>
      <c r="C593" t="s">
        <v>997</v>
      </c>
      <c r="D593" t="s">
        <v>3468</v>
      </c>
      <c r="E593" t="s">
        <v>3469</v>
      </c>
    </row>
    <row r="594" spans="1:5" ht="15" customHeight="1" x14ac:dyDescent="0.2">
      <c r="A594" s="27" t="s">
        <v>998</v>
      </c>
      <c r="B594" t="s">
        <v>998</v>
      </c>
      <c r="C594" t="s">
        <v>999</v>
      </c>
      <c r="D594" t="s">
        <v>3468</v>
      </c>
      <c r="E594" t="s">
        <v>3469</v>
      </c>
    </row>
    <row r="595" spans="1:5" ht="15" customHeight="1" x14ac:dyDescent="0.2">
      <c r="A595" s="27" t="s">
        <v>1000</v>
      </c>
      <c r="B595" t="s">
        <v>1000</v>
      </c>
      <c r="C595" t="s">
        <v>1001</v>
      </c>
      <c r="D595" t="s">
        <v>3468</v>
      </c>
      <c r="E595" t="s">
        <v>3469</v>
      </c>
    </row>
    <row r="596" spans="1:5" ht="15" customHeight="1" x14ac:dyDescent="0.2">
      <c r="A596" s="27" t="s">
        <v>1002</v>
      </c>
      <c r="B596" t="s">
        <v>1002</v>
      </c>
      <c r="C596" t="s">
        <v>1003</v>
      </c>
      <c r="D596" t="s">
        <v>3468</v>
      </c>
      <c r="E596" t="s">
        <v>3469</v>
      </c>
    </row>
    <row r="597" spans="1:5" ht="15" customHeight="1" x14ac:dyDescent="0.2">
      <c r="A597" s="27" t="s">
        <v>71</v>
      </c>
      <c r="B597" t="s">
        <v>72</v>
      </c>
      <c r="C597" t="s">
        <v>73</v>
      </c>
      <c r="D597" t="s">
        <v>3468</v>
      </c>
      <c r="E597" t="s">
        <v>3469</v>
      </c>
    </row>
    <row r="598" spans="1:5" ht="15" customHeight="1" x14ac:dyDescent="0.2">
      <c r="A598" s="27" t="s">
        <v>67</v>
      </c>
      <c r="B598" t="s">
        <v>70</v>
      </c>
      <c r="C598" t="s">
        <v>68</v>
      </c>
      <c r="D598" t="s">
        <v>3468</v>
      </c>
      <c r="E598" t="s">
        <v>3469</v>
      </c>
    </row>
    <row r="599" spans="1:5" ht="15" customHeight="1" x14ac:dyDescent="0.2">
      <c r="A599" s="27" t="s">
        <v>1004</v>
      </c>
      <c r="B599" t="s">
        <v>1004</v>
      </c>
      <c r="C599" t="s">
        <v>1005</v>
      </c>
      <c r="D599" t="s">
        <v>3468</v>
      </c>
      <c r="E599" t="s">
        <v>3469</v>
      </c>
    </row>
    <row r="600" spans="1:5" ht="15" customHeight="1" x14ac:dyDescent="0.2">
      <c r="A600" s="27" t="s">
        <v>1006</v>
      </c>
      <c r="B600" t="s">
        <v>1006</v>
      </c>
      <c r="C600" t="s">
        <v>1007</v>
      </c>
      <c r="D600" t="s">
        <v>3468</v>
      </c>
      <c r="E600" t="s">
        <v>3469</v>
      </c>
    </row>
    <row r="601" spans="1:5" ht="15" customHeight="1" x14ac:dyDescent="0.2">
      <c r="A601" s="27" t="s">
        <v>1008</v>
      </c>
      <c r="B601" t="s">
        <v>1008</v>
      </c>
      <c r="C601" t="s">
        <v>1009</v>
      </c>
      <c r="D601" t="s">
        <v>3468</v>
      </c>
      <c r="E601" t="s">
        <v>3469</v>
      </c>
    </row>
    <row r="602" spans="1:5" ht="15" customHeight="1" x14ac:dyDescent="0.2">
      <c r="A602" s="27" t="s">
        <v>1010</v>
      </c>
      <c r="B602" t="s">
        <v>1010</v>
      </c>
      <c r="C602" t="s">
        <v>1011</v>
      </c>
      <c r="D602" t="s">
        <v>3468</v>
      </c>
      <c r="E602" t="s">
        <v>3469</v>
      </c>
    </row>
    <row r="603" spans="1:5" ht="15" customHeight="1" x14ac:dyDescent="0.2">
      <c r="A603" s="27" t="s">
        <v>1012</v>
      </c>
      <c r="B603" t="s">
        <v>1012</v>
      </c>
      <c r="C603" t="s">
        <v>1013</v>
      </c>
      <c r="D603" t="s">
        <v>3468</v>
      </c>
      <c r="E603" t="s">
        <v>3469</v>
      </c>
    </row>
    <row r="604" spans="1:5" ht="15" customHeight="1" x14ac:dyDescent="0.2">
      <c r="A604" s="27" t="s">
        <v>1014</v>
      </c>
      <c r="B604" t="s">
        <v>1014</v>
      </c>
      <c r="C604" t="s">
        <v>1015</v>
      </c>
      <c r="D604" t="s">
        <v>3468</v>
      </c>
      <c r="E604" t="s">
        <v>3469</v>
      </c>
    </row>
    <row r="605" spans="1:5" ht="15" customHeight="1" x14ac:dyDescent="0.2">
      <c r="A605" s="27" t="s">
        <v>1016</v>
      </c>
      <c r="B605" t="s">
        <v>1016</v>
      </c>
      <c r="C605" t="s">
        <v>1017</v>
      </c>
      <c r="D605" t="s">
        <v>3468</v>
      </c>
      <c r="E605" t="s">
        <v>3469</v>
      </c>
    </row>
    <row r="606" spans="1:5" ht="15" customHeight="1" x14ac:dyDescent="0.2">
      <c r="A606" s="27" t="s">
        <v>1018</v>
      </c>
      <c r="B606" t="s">
        <v>1018</v>
      </c>
      <c r="C606" t="s">
        <v>69</v>
      </c>
      <c r="D606" t="s">
        <v>3468</v>
      </c>
      <c r="E606" t="s">
        <v>3469</v>
      </c>
    </row>
    <row r="607" spans="1:5" ht="15" customHeight="1" x14ac:dyDescent="0.2">
      <c r="A607" s="27" t="s">
        <v>1019</v>
      </c>
      <c r="B607" t="s">
        <v>1019</v>
      </c>
      <c r="C607" t="s">
        <v>1020</v>
      </c>
      <c r="D607" t="s">
        <v>3468</v>
      </c>
      <c r="E607" t="s">
        <v>3469</v>
      </c>
    </row>
    <row r="608" spans="1:5" ht="15" customHeight="1" x14ac:dyDescent="0.2">
      <c r="A608" s="27" t="s">
        <v>1021</v>
      </c>
      <c r="B608" t="s">
        <v>1021</v>
      </c>
      <c r="C608" t="s">
        <v>1022</v>
      </c>
      <c r="D608" t="s">
        <v>3468</v>
      </c>
      <c r="E608" t="s">
        <v>3469</v>
      </c>
    </row>
    <row r="609" spans="1:5" ht="15" customHeight="1" x14ac:dyDescent="0.2">
      <c r="A609" s="27" t="s">
        <v>1023</v>
      </c>
      <c r="B609" t="s">
        <v>1023</v>
      </c>
      <c r="C609" t="s">
        <v>1024</v>
      </c>
      <c r="D609" t="s">
        <v>3468</v>
      </c>
      <c r="E609" t="s">
        <v>3469</v>
      </c>
    </row>
    <row r="610" spans="1:5" ht="15" customHeight="1" x14ac:dyDescent="0.2">
      <c r="A610" s="27" t="s">
        <v>1025</v>
      </c>
      <c r="B610" t="s">
        <v>1025</v>
      </c>
      <c r="C610" t="s">
        <v>1026</v>
      </c>
      <c r="D610" t="s">
        <v>3468</v>
      </c>
      <c r="E610" t="s">
        <v>3469</v>
      </c>
    </row>
    <row r="611" spans="1:5" ht="15" customHeight="1" x14ac:dyDescent="0.2">
      <c r="A611" s="27" t="s">
        <v>2171</v>
      </c>
      <c r="B611" t="s">
        <v>2171</v>
      </c>
      <c r="C611" t="s">
        <v>2172</v>
      </c>
      <c r="D611" t="s">
        <v>3468</v>
      </c>
      <c r="E611" t="s">
        <v>3469</v>
      </c>
    </row>
    <row r="612" spans="1:5" ht="15" customHeight="1" x14ac:dyDescent="0.2">
      <c r="A612" s="27" t="s">
        <v>2173</v>
      </c>
      <c r="B612" t="s">
        <v>2173</v>
      </c>
      <c r="C612" t="s">
        <v>2174</v>
      </c>
      <c r="D612" t="s">
        <v>3468</v>
      </c>
      <c r="E612" t="s">
        <v>3469</v>
      </c>
    </row>
    <row r="613" spans="1:5" ht="15" customHeight="1" x14ac:dyDescent="0.2">
      <c r="A613" s="27" t="s">
        <v>2175</v>
      </c>
      <c r="B613" t="s">
        <v>2175</v>
      </c>
      <c r="C613" t="s">
        <v>2176</v>
      </c>
      <c r="D613" t="s">
        <v>3468</v>
      </c>
      <c r="E613" t="s">
        <v>3469</v>
      </c>
    </row>
    <row r="614" spans="1:5" ht="15" customHeight="1" x14ac:dyDescent="0.2">
      <c r="A614" s="27" t="s">
        <v>2177</v>
      </c>
      <c r="B614" t="s">
        <v>2177</v>
      </c>
      <c r="C614" t="s">
        <v>2178</v>
      </c>
      <c r="D614" t="s">
        <v>3468</v>
      </c>
      <c r="E614" t="s">
        <v>3469</v>
      </c>
    </row>
    <row r="615" spans="1:5" ht="15" customHeight="1" x14ac:dyDescent="0.2">
      <c r="A615" s="27" t="s">
        <v>2179</v>
      </c>
      <c r="B615" t="s">
        <v>2179</v>
      </c>
      <c r="C615" t="s">
        <v>2180</v>
      </c>
      <c r="D615" t="s">
        <v>3468</v>
      </c>
      <c r="E615" t="s">
        <v>3469</v>
      </c>
    </row>
    <row r="616" spans="1:5" ht="15" customHeight="1" x14ac:dyDescent="0.2">
      <c r="A616" s="27" t="s">
        <v>2181</v>
      </c>
      <c r="B616" t="s">
        <v>2181</v>
      </c>
      <c r="C616" t="s">
        <v>2182</v>
      </c>
      <c r="D616" t="s">
        <v>3468</v>
      </c>
      <c r="E616" t="s">
        <v>3469</v>
      </c>
    </row>
    <row r="617" spans="1:5" ht="15" customHeight="1" x14ac:dyDescent="0.2">
      <c r="A617" s="27" t="s">
        <v>2183</v>
      </c>
      <c r="B617" t="s">
        <v>2183</v>
      </c>
      <c r="C617" t="s">
        <v>2184</v>
      </c>
      <c r="D617" t="s">
        <v>3468</v>
      </c>
      <c r="E617" t="s">
        <v>3469</v>
      </c>
    </row>
    <row r="618" spans="1:5" ht="15" customHeight="1" x14ac:dyDescent="0.2">
      <c r="A618" s="27" t="s">
        <v>2185</v>
      </c>
      <c r="B618" t="s">
        <v>2185</v>
      </c>
      <c r="C618" t="s">
        <v>2186</v>
      </c>
      <c r="D618" t="s">
        <v>3468</v>
      </c>
      <c r="E618" t="s">
        <v>3469</v>
      </c>
    </row>
    <row r="619" spans="1:5" ht="15" customHeight="1" x14ac:dyDescent="0.2">
      <c r="A619" s="27" t="s">
        <v>2187</v>
      </c>
      <c r="B619" t="s">
        <v>2187</v>
      </c>
      <c r="C619" t="s">
        <v>2188</v>
      </c>
      <c r="D619" t="s">
        <v>3468</v>
      </c>
      <c r="E619" t="s">
        <v>3469</v>
      </c>
    </row>
    <row r="620" spans="1:5" ht="15" customHeight="1" x14ac:dyDescent="0.2">
      <c r="A620" s="27" t="s">
        <v>2189</v>
      </c>
      <c r="B620" t="s">
        <v>2189</v>
      </c>
      <c r="C620" t="s">
        <v>2190</v>
      </c>
      <c r="D620" t="s">
        <v>3468</v>
      </c>
      <c r="E620" t="s">
        <v>3469</v>
      </c>
    </row>
    <row r="621" spans="1:5" ht="15" customHeight="1" x14ac:dyDescent="0.2">
      <c r="A621" s="27" t="s">
        <v>2191</v>
      </c>
      <c r="B621" t="s">
        <v>2191</v>
      </c>
      <c r="C621" t="s">
        <v>2192</v>
      </c>
      <c r="D621" t="s">
        <v>3468</v>
      </c>
      <c r="E621" t="s">
        <v>3469</v>
      </c>
    </row>
    <row r="622" spans="1:5" ht="15" customHeight="1" x14ac:dyDescent="0.2">
      <c r="A622" s="27" t="s">
        <v>2193</v>
      </c>
      <c r="B622" t="s">
        <v>2193</v>
      </c>
      <c r="C622" t="s">
        <v>2194</v>
      </c>
      <c r="D622" t="s">
        <v>3468</v>
      </c>
      <c r="E622" t="s">
        <v>3469</v>
      </c>
    </row>
    <row r="623" spans="1:5" ht="15" customHeight="1" x14ac:dyDescent="0.2">
      <c r="A623" s="27" t="s">
        <v>2195</v>
      </c>
      <c r="B623" t="s">
        <v>2195</v>
      </c>
      <c r="C623" t="s">
        <v>2196</v>
      </c>
      <c r="D623" t="s">
        <v>3468</v>
      </c>
      <c r="E623" t="s">
        <v>3469</v>
      </c>
    </row>
    <row r="624" spans="1:5" ht="15" customHeight="1" x14ac:dyDescent="0.2">
      <c r="A624" s="27" t="s">
        <v>2197</v>
      </c>
      <c r="B624" t="s">
        <v>2197</v>
      </c>
      <c r="C624" t="s">
        <v>2198</v>
      </c>
      <c r="D624" t="s">
        <v>3468</v>
      </c>
      <c r="E624" t="s">
        <v>3469</v>
      </c>
    </row>
    <row r="625" spans="1:5" ht="15" customHeight="1" x14ac:dyDescent="0.2">
      <c r="A625" s="27" t="s">
        <v>2199</v>
      </c>
      <c r="B625" t="s">
        <v>2199</v>
      </c>
      <c r="C625" t="s">
        <v>2200</v>
      </c>
      <c r="D625" t="s">
        <v>3468</v>
      </c>
      <c r="E625" t="s">
        <v>3469</v>
      </c>
    </row>
    <row r="626" spans="1:5" ht="15" customHeight="1" x14ac:dyDescent="0.2">
      <c r="A626" s="27" t="s">
        <v>2201</v>
      </c>
      <c r="B626" t="s">
        <v>2201</v>
      </c>
      <c r="C626" t="s">
        <v>2202</v>
      </c>
      <c r="D626" t="s">
        <v>3468</v>
      </c>
      <c r="E626" t="s">
        <v>3469</v>
      </c>
    </row>
    <row r="627" spans="1:5" ht="15" customHeight="1" x14ac:dyDescent="0.2">
      <c r="A627" s="27" t="s">
        <v>2203</v>
      </c>
      <c r="B627" t="s">
        <v>2203</v>
      </c>
      <c r="C627" t="s">
        <v>2204</v>
      </c>
      <c r="D627" t="s">
        <v>3468</v>
      </c>
      <c r="E627" t="s">
        <v>3469</v>
      </c>
    </row>
    <row r="628" spans="1:5" ht="15" customHeight="1" x14ac:dyDescent="0.2">
      <c r="A628" s="27" t="s">
        <v>2205</v>
      </c>
      <c r="B628" t="s">
        <v>2205</v>
      </c>
      <c r="C628" t="s">
        <v>2206</v>
      </c>
      <c r="D628" t="s">
        <v>3468</v>
      </c>
      <c r="E628" t="s">
        <v>3469</v>
      </c>
    </row>
    <row r="629" spans="1:5" ht="15" customHeight="1" x14ac:dyDescent="0.2">
      <c r="A629" s="27" t="s">
        <v>2207</v>
      </c>
      <c r="B629" t="s">
        <v>2207</v>
      </c>
      <c r="C629" t="s">
        <v>2208</v>
      </c>
      <c r="D629" t="s">
        <v>3468</v>
      </c>
      <c r="E629" t="s">
        <v>3469</v>
      </c>
    </row>
    <row r="630" spans="1:5" ht="15" customHeight="1" x14ac:dyDescent="0.2">
      <c r="A630" s="27" t="s">
        <v>2209</v>
      </c>
      <c r="B630" t="s">
        <v>2209</v>
      </c>
      <c r="C630" t="s">
        <v>221</v>
      </c>
      <c r="D630" t="s">
        <v>3468</v>
      </c>
      <c r="E630" t="s">
        <v>3469</v>
      </c>
    </row>
    <row r="631" spans="1:5" ht="15" customHeight="1" x14ac:dyDescent="0.2">
      <c r="A631" s="27" t="s">
        <v>2210</v>
      </c>
      <c r="B631" t="s">
        <v>2210</v>
      </c>
      <c r="C631" t="s">
        <v>2211</v>
      </c>
      <c r="D631" t="s">
        <v>3468</v>
      </c>
      <c r="E631" t="s">
        <v>3469</v>
      </c>
    </row>
    <row r="632" spans="1:5" ht="15" customHeight="1" x14ac:dyDescent="0.2">
      <c r="A632" s="27" t="s">
        <v>2212</v>
      </c>
      <c r="B632" t="s">
        <v>2212</v>
      </c>
      <c r="C632" t="s">
        <v>2213</v>
      </c>
      <c r="D632" t="s">
        <v>3468</v>
      </c>
      <c r="E632" t="s">
        <v>3469</v>
      </c>
    </row>
    <row r="633" spans="1:5" ht="15" customHeight="1" x14ac:dyDescent="0.2">
      <c r="A633" s="27" t="s">
        <v>2214</v>
      </c>
      <c r="B633" t="s">
        <v>2214</v>
      </c>
      <c r="C633" t="s">
        <v>2215</v>
      </c>
      <c r="D633" t="s">
        <v>3468</v>
      </c>
      <c r="E633" t="s">
        <v>3469</v>
      </c>
    </row>
    <row r="634" spans="1:5" ht="15" customHeight="1" x14ac:dyDescent="0.2">
      <c r="A634" s="27" t="s">
        <v>2216</v>
      </c>
      <c r="B634" t="s">
        <v>2216</v>
      </c>
      <c r="C634" t="s">
        <v>2217</v>
      </c>
      <c r="D634" t="s">
        <v>3468</v>
      </c>
      <c r="E634" t="s">
        <v>3469</v>
      </c>
    </row>
    <row r="635" spans="1:5" ht="15" customHeight="1" x14ac:dyDescent="0.2">
      <c r="A635" s="27" t="s">
        <v>2218</v>
      </c>
      <c r="B635" t="s">
        <v>2218</v>
      </c>
      <c r="C635" t="s">
        <v>2219</v>
      </c>
      <c r="D635" t="s">
        <v>3468</v>
      </c>
      <c r="E635" t="s">
        <v>3469</v>
      </c>
    </row>
    <row r="636" spans="1:5" ht="15" customHeight="1" x14ac:dyDescent="0.2">
      <c r="A636" s="27" t="s">
        <v>2220</v>
      </c>
      <c r="B636" t="s">
        <v>2220</v>
      </c>
      <c r="C636" t="s">
        <v>2221</v>
      </c>
      <c r="D636" t="s">
        <v>3468</v>
      </c>
      <c r="E636" t="s">
        <v>3469</v>
      </c>
    </row>
    <row r="637" spans="1:5" ht="15" customHeight="1" x14ac:dyDescent="0.2">
      <c r="A637" s="27" t="s">
        <v>2222</v>
      </c>
      <c r="B637" t="s">
        <v>2222</v>
      </c>
      <c r="C637" t="s">
        <v>2223</v>
      </c>
      <c r="D637" t="s">
        <v>3468</v>
      </c>
      <c r="E637" t="s">
        <v>3469</v>
      </c>
    </row>
    <row r="638" spans="1:5" ht="15" customHeight="1" x14ac:dyDescent="0.2">
      <c r="A638" s="27" t="s">
        <v>2224</v>
      </c>
      <c r="B638" t="s">
        <v>2224</v>
      </c>
      <c r="C638" t="s">
        <v>2225</v>
      </c>
      <c r="D638" t="s">
        <v>3468</v>
      </c>
      <c r="E638" t="s">
        <v>3469</v>
      </c>
    </row>
    <row r="639" spans="1:5" ht="15" customHeight="1" x14ac:dyDescent="0.2">
      <c r="A639" s="27" t="s">
        <v>2226</v>
      </c>
      <c r="B639" t="s">
        <v>2226</v>
      </c>
      <c r="C639" t="s">
        <v>2227</v>
      </c>
      <c r="D639" t="s">
        <v>3468</v>
      </c>
      <c r="E639" t="s">
        <v>3469</v>
      </c>
    </row>
    <row r="640" spans="1:5" ht="15" customHeight="1" x14ac:dyDescent="0.2">
      <c r="A640" s="27" t="s">
        <v>2228</v>
      </c>
      <c r="B640" t="s">
        <v>2228</v>
      </c>
      <c r="C640" t="s">
        <v>2229</v>
      </c>
      <c r="D640" t="s">
        <v>3468</v>
      </c>
      <c r="E640" t="s">
        <v>3469</v>
      </c>
    </row>
    <row r="641" spans="1:5" ht="15" customHeight="1" x14ac:dyDescent="0.2">
      <c r="A641" s="27" t="s">
        <v>2230</v>
      </c>
      <c r="B641" t="s">
        <v>2230</v>
      </c>
      <c r="C641" t="s">
        <v>2231</v>
      </c>
      <c r="D641" t="s">
        <v>3468</v>
      </c>
      <c r="E641" t="s">
        <v>3469</v>
      </c>
    </row>
    <row r="642" spans="1:5" ht="15" customHeight="1" x14ac:dyDescent="0.2">
      <c r="A642" s="27" t="s">
        <v>2238</v>
      </c>
      <c r="B642" t="s">
        <v>2238</v>
      </c>
      <c r="C642" t="s">
        <v>2239</v>
      </c>
      <c r="D642" t="s">
        <v>3468</v>
      </c>
      <c r="E642" t="s">
        <v>3469</v>
      </c>
    </row>
    <row r="643" spans="1:5" ht="15" customHeight="1" x14ac:dyDescent="0.2">
      <c r="A643" s="27" t="s">
        <v>2240</v>
      </c>
      <c r="B643" t="s">
        <v>2240</v>
      </c>
      <c r="C643" t="s">
        <v>2241</v>
      </c>
      <c r="D643" t="s">
        <v>3468</v>
      </c>
      <c r="E643" t="s">
        <v>3469</v>
      </c>
    </row>
    <row r="644" spans="1:5" ht="15" customHeight="1" x14ac:dyDescent="0.2">
      <c r="A644" s="27" t="s">
        <v>2242</v>
      </c>
      <c r="B644" t="s">
        <v>2242</v>
      </c>
      <c r="C644" t="s">
        <v>2243</v>
      </c>
      <c r="D644" t="s">
        <v>3468</v>
      </c>
      <c r="E644" t="s">
        <v>3469</v>
      </c>
    </row>
    <row r="645" spans="1:5" ht="15" customHeight="1" x14ac:dyDescent="0.2">
      <c r="A645" s="27" t="s">
        <v>2087</v>
      </c>
      <c r="B645" t="s">
        <v>2087</v>
      </c>
      <c r="C645" t="s">
        <v>2088</v>
      </c>
      <c r="D645" t="s">
        <v>3468</v>
      </c>
      <c r="E645" t="s">
        <v>3469</v>
      </c>
    </row>
    <row r="646" spans="1:5" ht="15" customHeight="1" x14ac:dyDescent="0.2">
      <c r="A646" s="27" t="s">
        <v>2089</v>
      </c>
      <c r="B646" t="s">
        <v>2089</v>
      </c>
      <c r="C646" t="s">
        <v>2090</v>
      </c>
      <c r="D646" t="s">
        <v>3468</v>
      </c>
      <c r="E646" t="s">
        <v>3469</v>
      </c>
    </row>
    <row r="647" spans="1:5" ht="15" customHeight="1" x14ac:dyDescent="0.2">
      <c r="A647" s="27" t="s">
        <v>2091</v>
      </c>
      <c r="B647" t="s">
        <v>2091</v>
      </c>
      <c r="C647" t="s">
        <v>2092</v>
      </c>
      <c r="D647" t="s">
        <v>3468</v>
      </c>
      <c r="E647" t="s">
        <v>3469</v>
      </c>
    </row>
    <row r="648" spans="1:5" ht="15" customHeight="1" x14ac:dyDescent="0.2">
      <c r="A648" s="27" t="s">
        <v>2093</v>
      </c>
      <c r="B648" t="s">
        <v>2093</v>
      </c>
      <c r="C648" t="s">
        <v>2094</v>
      </c>
      <c r="D648" t="s">
        <v>3468</v>
      </c>
      <c r="E648" t="s">
        <v>3469</v>
      </c>
    </row>
    <row r="649" spans="1:5" ht="15" customHeight="1" x14ac:dyDescent="0.2">
      <c r="A649" s="27" t="s">
        <v>2095</v>
      </c>
      <c r="B649" t="s">
        <v>2095</v>
      </c>
      <c r="C649" t="s">
        <v>2096</v>
      </c>
      <c r="D649" t="s">
        <v>3468</v>
      </c>
      <c r="E649" t="s">
        <v>3469</v>
      </c>
    </row>
    <row r="650" spans="1:5" ht="15" customHeight="1" x14ac:dyDescent="0.2">
      <c r="A650" s="27" t="s">
        <v>2097</v>
      </c>
      <c r="B650" t="s">
        <v>2097</v>
      </c>
      <c r="C650" t="s">
        <v>2098</v>
      </c>
      <c r="D650" t="s">
        <v>3468</v>
      </c>
      <c r="E650" t="s">
        <v>3469</v>
      </c>
    </row>
    <row r="651" spans="1:5" ht="15" customHeight="1" x14ac:dyDescent="0.2">
      <c r="A651" s="27" t="s">
        <v>2099</v>
      </c>
      <c r="B651" t="s">
        <v>2099</v>
      </c>
      <c r="C651" t="s">
        <v>2100</v>
      </c>
      <c r="D651" t="s">
        <v>3468</v>
      </c>
      <c r="E651" t="s">
        <v>3469</v>
      </c>
    </row>
    <row r="652" spans="1:5" ht="15" customHeight="1" x14ac:dyDescent="0.2">
      <c r="A652" s="27" t="s">
        <v>2101</v>
      </c>
      <c r="B652" t="s">
        <v>2101</v>
      </c>
      <c r="C652" t="s">
        <v>2102</v>
      </c>
      <c r="D652" t="s">
        <v>3468</v>
      </c>
      <c r="E652" t="s">
        <v>3469</v>
      </c>
    </row>
    <row r="653" spans="1:5" ht="15" customHeight="1" x14ac:dyDescent="0.2">
      <c r="A653" s="27" t="s">
        <v>2103</v>
      </c>
      <c r="B653" t="s">
        <v>2103</v>
      </c>
      <c r="C653" t="s">
        <v>2104</v>
      </c>
      <c r="D653" t="s">
        <v>3468</v>
      </c>
      <c r="E653" t="s">
        <v>3469</v>
      </c>
    </row>
    <row r="654" spans="1:5" ht="15" customHeight="1" x14ac:dyDescent="0.2">
      <c r="A654" s="27" t="s">
        <v>2105</v>
      </c>
      <c r="B654" t="s">
        <v>2105</v>
      </c>
      <c r="C654" t="s">
        <v>2106</v>
      </c>
      <c r="D654" t="s">
        <v>3468</v>
      </c>
      <c r="E654" t="s">
        <v>3469</v>
      </c>
    </row>
    <row r="655" spans="1:5" ht="15" customHeight="1" x14ac:dyDescent="0.2">
      <c r="A655" s="27" t="s">
        <v>2107</v>
      </c>
      <c r="B655" t="s">
        <v>2107</v>
      </c>
      <c r="C655" t="s">
        <v>2108</v>
      </c>
      <c r="D655" t="s">
        <v>3468</v>
      </c>
      <c r="E655" t="s">
        <v>3469</v>
      </c>
    </row>
    <row r="656" spans="1:5" ht="15" customHeight="1" x14ac:dyDescent="0.2">
      <c r="A656" s="27" t="s">
        <v>2109</v>
      </c>
      <c r="B656" t="s">
        <v>2109</v>
      </c>
      <c r="C656" t="s">
        <v>2110</v>
      </c>
      <c r="D656" t="s">
        <v>3468</v>
      </c>
      <c r="E656" t="s">
        <v>3469</v>
      </c>
    </row>
    <row r="657" spans="1:5" ht="15" customHeight="1" x14ac:dyDescent="0.2">
      <c r="A657" s="27" t="s">
        <v>2111</v>
      </c>
      <c r="B657" t="s">
        <v>2111</v>
      </c>
      <c r="C657" t="s">
        <v>2112</v>
      </c>
      <c r="D657" t="s">
        <v>3468</v>
      </c>
      <c r="E657" t="s">
        <v>3469</v>
      </c>
    </row>
    <row r="658" spans="1:5" ht="15" customHeight="1" x14ac:dyDescent="0.2">
      <c r="A658" s="27" t="s">
        <v>2113</v>
      </c>
      <c r="B658" t="s">
        <v>2113</v>
      </c>
      <c r="C658" t="s">
        <v>2114</v>
      </c>
      <c r="D658" t="s">
        <v>3468</v>
      </c>
      <c r="E658" t="s">
        <v>3469</v>
      </c>
    </row>
    <row r="659" spans="1:5" ht="15" customHeight="1" x14ac:dyDescent="0.2">
      <c r="A659" s="27" t="s">
        <v>2115</v>
      </c>
      <c r="B659" t="s">
        <v>2115</v>
      </c>
      <c r="C659" t="s">
        <v>2116</v>
      </c>
      <c r="D659" t="s">
        <v>3468</v>
      </c>
      <c r="E659" t="s">
        <v>3469</v>
      </c>
    </row>
    <row r="660" spans="1:5" ht="15" customHeight="1" x14ac:dyDescent="0.2">
      <c r="A660" s="27" t="s">
        <v>2117</v>
      </c>
      <c r="B660" t="s">
        <v>2117</v>
      </c>
      <c r="C660" t="s">
        <v>2118</v>
      </c>
      <c r="D660" t="s">
        <v>3468</v>
      </c>
      <c r="E660" t="s">
        <v>3469</v>
      </c>
    </row>
    <row r="661" spans="1:5" ht="15" customHeight="1" x14ac:dyDescent="0.2">
      <c r="A661" s="27" t="s">
        <v>2119</v>
      </c>
      <c r="B661" t="s">
        <v>2119</v>
      </c>
      <c r="C661" t="s">
        <v>2120</v>
      </c>
      <c r="D661" t="s">
        <v>3468</v>
      </c>
      <c r="E661" t="s">
        <v>3469</v>
      </c>
    </row>
    <row r="662" spans="1:5" ht="15" customHeight="1" x14ac:dyDescent="0.2">
      <c r="A662" s="27" t="s">
        <v>2121</v>
      </c>
      <c r="B662" t="s">
        <v>2121</v>
      </c>
      <c r="C662" t="s">
        <v>2122</v>
      </c>
      <c r="D662" t="s">
        <v>3468</v>
      </c>
      <c r="E662" t="s">
        <v>3469</v>
      </c>
    </row>
    <row r="663" spans="1:5" ht="15" customHeight="1" x14ac:dyDescent="0.2">
      <c r="A663" s="27" t="s">
        <v>2123</v>
      </c>
      <c r="B663" t="s">
        <v>2123</v>
      </c>
      <c r="C663" t="s">
        <v>2124</v>
      </c>
      <c r="D663" t="s">
        <v>3468</v>
      </c>
      <c r="E663" t="s">
        <v>3469</v>
      </c>
    </row>
    <row r="664" spans="1:5" ht="15" customHeight="1" x14ac:dyDescent="0.2">
      <c r="A664" s="27" t="s">
        <v>2125</v>
      </c>
      <c r="B664" t="s">
        <v>2125</v>
      </c>
      <c r="C664" t="s">
        <v>2126</v>
      </c>
      <c r="D664" t="s">
        <v>3468</v>
      </c>
      <c r="E664" t="s">
        <v>3469</v>
      </c>
    </row>
    <row r="665" spans="1:5" ht="15" customHeight="1" x14ac:dyDescent="0.2">
      <c r="A665" s="27" t="s">
        <v>2127</v>
      </c>
      <c r="B665" t="s">
        <v>2127</v>
      </c>
      <c r="C665" t="s">
        <v>2128</v>
      </c>
      <c r="D665" t="s">
        <v>3468</v>
      </c>
      <c r="E665" t="s">
        <v>3469</v>
      </c>
    </row>
    <row r="666" spans="1:5" ht="15" customHeight="1" x14ac:dyDescent="0.2">
      <c r="A666" s="27" t="s">
        <v>2129</v>
      </c>
      <c r="B666" t="s">
        <v>2129</v>
      </c>
      <c r="C666" t="s">
        <v>2130</v>
      </c>
      <c r="D666" t="s">
        <v>3468</v>
      </c>
      <c r="E666" t="s">
        <v>3469</v>
      </c>
    </row>
    <row r="667" spans="1:5" ht="15" customHeight="1" x14ac:dyDescent="0.2">
      <c r="A667" s="27" t="s">
        <v>2131</v>
      </c>
      <c r="B667" t="s">
        <v>2131</v>
      </c>
      <c r="C667" t="s">
        <v>2132</v>
      </c>
      <c r="D667" t="s">
        <v>3468</v>
      </c>
      <c r="E667" t="s">
        <v>3469</v>
      </c>
    </row>
    <row r="668" spans="1:5" ht="15" customHeight="1" x14ac:dyDescent="0.2">
      <c r="A668" s="27" t="s">
        <v>2133</v>
      </c>
      <c r="B668" t="s">
        <v>2133</v>
      </c>
      <c r="C668" t="s">
        <v>2134</v>
      </c>
      <c r="D668" t="s">
        <v>3468</v>
      </c>
      <c r="E668" t="s">
        <v>3469</v>
      </c>
    </row>
    <row r="669" spans="1:5" ht="15" customHeight="1" x14ac:dyDescent="0.2">
      <c r="A669" s="27" t="s">
        <v>2135</v>
      </c>
      <c r="B669" t="s">
        <v>2135</v>
      </c>
      <c r="C669" t="s">
        <v>2136</v>
      </c>
      <c r="D669" t="s">
        <v>3468</v>
      </c>
      <c r="E669" t="s">
        <v>3469</v>
      </c>
    </row>
    <row r="670" spans="1:5" ht="15" customHeight="1" x14ac:dyDescent="0.2">
      <c r="A670" s="27" t="s">
        <v>2137</v>
      </c>
      <c r="B670" t="s">
        <v>2137</v>
      </c>
      <c r="C670" t="s">
        <v>2138</v>
      </c>
      <c r="D670" t="s">
        <v>3468</v>
      </c>
      <c r="E670" t="s">
        <v>3469</v>
      </c>
    </row>
    <row r="671" spans="1:5" ht="15" customHeight="1" x14ac:dyDescent="0.2">
      <c r="A671" s="27" t="s">
        <v>2139</v>
      </c>
      <c r="B671" t="s">
        <v>2139</v>
      </c>
      <c r="C671" t="s">
        <v>2140</v>
      </c>
      <c r="D671" t="s">
        <v>3468</v>
      </c>
      <c r="E671" t="s">
        <v>3469</v>
      </c>
    </row>
    <row r="672" spans="1:5" ht="15" customHeight="1" x14ac:dyDescent="0.2">
      <c r="A672" s="27" t="s">
        <v>2141</v>
      </c>
      <c r="B672" t="s">
        <v>2141</v>
      </c>
      <c r="C672" t="s">
        <v>2142</v>
      </c>
      <c r="D672" t="s">
        <v>3468</v>
      </c>
      <c r="E672" t="s">
        <v>3469</v>
      </c>
    </row>
    <row r="673" spans="1:5" ht="15" customHeight="1" x14ac:dyDescent="0.2">
      <c r="A673" s="27" t="s">
        <v>2143</v>
      </c>
      <c r="B673" t="s">
        <v>2143</v>
      </c>
      <c r="C673" t="s">
        <v>2144</v>
      </c>
      <c r="D673" t="s">
        <v>3468</v>
      </c>
      <c r="E673" t="s">
        <v>3469</v>
      </c>
    </row>
    <row r="674" spans="1:5" ht="15" customHeight="1" x14ac:dyDescent="0.2">
      <c r="A674" s="27" t="s">
        <v>2145</v>
      </c>
      <c r="B674" t="s">
        <v>2145</v>
      </c>
      <c r="C674" t="s">
        <v>2146</v>
      </c>
      <c r="D674" t="s">
        <v>3468</v>
      </c>
      <c r="E674" t="s">
        <v>3469</v>
      </c>
    </row>
    <row r="675" spans="1:5" ht="15" customHeight="1" x14ac:dyDescent="0.2">
      <c r="A675" s="27" t="s">
        <v>2147</v>
      </c>
      <c r="B675" t="s">
        <v>2147</v>
      </c>
      <c r="C675" t="s">
        <v>2148</v>
      </c>
      <c r="D675" t="s">
        <v>3468</v>
      </c>
      <c r="E675" t="s">
        <v>3469</v>
      </c>
    </row>
    <row r="676" spans="1:5" ht="15" customHeight="1" x14ac:dyDescent="0.2">
      <c r="A676" s="27" t="s">
        <v>2149</v>
      </c>
      <c r="B676" t="s">
        <v>2149</v>
      </c>
      <c r="C676" t="s">
        <v>2150</v>
      </c>
      <c r="D676" t="s">
        <v>3468</v>
      </c>
      <c r="E676" t="s">
        <v>3469</v>
      </c>
    </row>
    <row r="677" spans="1:5" ht="15" customHeight="1" x14ac:dyDescent="0.2">
      <c r="A677" s="27" t="s">
        <v>2151</v>
      </c>
      <c r="B677" t="s">
        <v>2151</v>
      </c>
      <c r="C677" t="s">
        <v>2152</v>
      </c>
      <c r="D677" t="s">
        <v>3468</v>
      </c>
      <c r="E677" t="s">
        <v>3469</v>
      </c>
    </row>
    <row r="678" spans="1:5" ht="15" customHeight="1" x14ac:dyDescent="0.2">
      <c r="A678" s="27" t="s">
        <v>2153</v>
      </c>
      <c r="B678" t="s">
        <v>2153</v>
      </c>
      <c r="C678" t="s">
        <v>2154</v>
      </c>
      <c r="D678" t="s">
        <v>3468</v>
      </c>
      <c r="E678" t="s">
        <v>3469</v>
      </c>
    </row>
    <row r="679" spans="1:5" ht="15" customHeight="1" x14ac:dyDescent="0.2">
      <c r="A679" s="27" t="s">
        <v>2155</v>
      </c>
      <c r="B679" t="s">
        <v>2155</v>
      </c>
      <c r="C679" t="s">
        <v>2156</v>
      </c>
      <c r="D679" t="s">
        <v>3468</v>
      </c>
      <c r="E679" t="s">
        <v>3469</v>
      </c>
    </row>
    <row r="680" spans="1:5" ht="15" customHeight="1" x14ac:dyDescent="0.2">
      <c r="A680" s="27" t="s">
        <v>2157</v>
      </c>
      <c r="B680" t="s">
        <v>2157</v>
      </c>
      <c r="C680" t="s">
        <v>2158</v>
      </c>
      <c r="D680" t="s">
        <v>3468</v>
      </c>
      <c r="E680" t="s">
        <v>3469</v>
      </c>
    </row>
    <row r="681" spans="1:5" ht="15" customHeight="1" x14ac:dyDescent="0.2">
      <c r="A681" s="27" t="s">
        <v>2159</v>
      </c>
      <c r="B681" t="s">
        <v>2159</v>
      </c>
      <c r="C681" t="s">
        <v>2160</v>
      </c>
      <c r="D681" t="s">
        <v>3468</v>
      </c>
      <c r="E681" t="s">
        <v>3469</v>
      </c>
    </row>
    <row r="682" spans="1:5" ht="15" customHeight="1" x14ac:dyDescent="0.2">
      <c r="A682" s="27" t="s">
        <v>2161</v>
      </c>
      <c r="B682" t="s">
        <v>2161</v>
      </c>
      <c r="C682" t="s">
        <v>2162</v>
      </c>
      <c r="D682" t="s">
        <v>3468</v>
      </c>
      <c r="E682" t="s">
        <v>3469</v>
      </c>
    </row>
    <row r="683" spans="1:5" ht="15" customHeight="1" x14ac:dyDescent="0.2">
      <c r="A683" s="27" t="s">
        <v>2163</v>
      </c>
      <c r="B683" t="s">
        <v>2163</v>
      </c>
      <c r="C683" t="s">
        <v>2164</v>
      </c>
      <c r="D683" t="s">
        <v>3468</v>
      </c>
      <c r="E683" t="s">
        <v>3469</v>
      </c>
    </row>
    <row r="684" spans="1:5" ht="15" customHeight="1" x14ac:dyDescent="0.2">
      <c r="A684" s="27" t="s">
        <v>2165</v>
      </c>
      <c r="B684" t="s">
        <v>2165</v>
      </c>
      <c r="C684" t="s">
        <v>2166</v>
      </c>
      <c r="D684" t="s">
        <v>3468</v>
      </c>
      <c r="E684" t="s">
        <v>3469</v>
      </c>
    </row>
    <row r="685" spans="1:5" ht="15" customHeight="1" x14ac:dyDescent="0.2">
      <c r="A685" s="27" t="s">
        <v>2167</v>
      </c>
      <c r="B685" t="s">
        <v>2167</v>
      </c>
      <c r="C685" t="s">
        <v>2168</v>
      </c>
      <c r="D685" t="s">
        <v>3468</v>
      </c>
      <c r="E685" t="s">
        <v>3469</v>
      </c>
    </row>
    <row r="686" spans="1:5" ht="15" customHeight="1" x14ac:dyDescent="0.2">
      <c r="A686" s="27" t="s">
        <v>2169</v>
      </c>
      <c r="B686" t="s">
        <v>2169</v>
      </c>
      <c r="C686" t="s">
        <v>2170</v>
      </c>
      <c r="D686" t="s">
        <v>3468</v>
      </c>
      <c r="E686" t="s">
        <v>3469</v>
      </c>
    </row>
    <row r="687" spans="1:5" ht="15" customHeight="1" x14ac:dyDescent="0.2">
      <c r="A687" s="27" t="s">
        <v>2077</v>
      </c>
      <c r="B687" t="s">
        <v>2077</v>
      </c>
      <c r="C687" t="s">
        <v>2078</v>
      </c>
      <c r="D687" t="s">
        <v>3468</v>
      </c>
      <c r="E687" t="s">
        <v>3469</v>
      </c>
    </row>
    <row r="688" spans="1:5" ht="15" customHeight="1" x14ac:dyDescent="0.2">
      <c r="A688" s="27" t="s">
        <v>2079</v>
      </c>
      <c r="B688" t="s">
        <v>2079</v>
      </c>
      <c r="C688" t="s">
        <v>2080</v>
      </c>
      <c r="D688" t="s">
        <v>3468</v>
      </c>
      <c r="E688" t="s">
        <v>3469</v>
      </c>
    </row>
    <row r="689" spans="1:5" ht="15" customHeight="1" x14ac:dyDescent="0.2">
      <c r="A689" s="27" t="s">
        <v>2081</v>
      </c>
      <c r="B689" t="s">
        <v>2081</v>
      </c>
      <c r="C689" t="s">
        <v>2082</v>
      </c>
      <c r="D689" t="s">
        <v>3468</v>
      </c>
      <c r="E689" t="s">
        <v>3469</v>
      </c>
    </row>
    <row r="690" spans="1:5" ht="15" customHeight="1" x14ac:dyDescent="0.2">
      <c r="A690" s="27" t="s">
        <v>2083</v>
      </c>
      <c r="B690" t="s">
        <v>2083</v>
      </c>
      <c r="C690" t="s">
        <v>2084</v>
      </c>
      <c r="D690" t="s">
        <v>3468</v>
      </c>
      <c r="E690" t="s">
        <v>3469</v>
      </c>
    </row>
    <row r="691" spans="1:5" ht="15" customHeight="1" x14ac:dyDescent="0.2">
      <c r="A691" s="27" t="s">
        <v>2085</v>
      </c>
      <c r="B691" t="s">
        <v>2085</v>
      </c>
      <c r="C691" t="s">
        <v>2086</v>
      </c>
      <c r="D691" t="s">
        <v>3468</v>
      </c>
      <c r="E691" t="s">
        <v>3469</v>
      </c>
    </row>
    <row r="692" spans="1:5" ht="15" customHeight="1" x14ac:dyDescent="0.2">
      <c r="A692" s="27" t="s">
        <v>2073</v>
      </c>
      <c r="B692" t="s">
        <v>2073</v>
      </c>
      <c r="C692" t="s">
        <v>2074</v>
      </c>
      <c r="D692" t="s">
        <v>3468</v>
      </c>
      <c r="E692" t="s">
        <v>3469</v>
      </c>
    </row>
    <row r="693" spans="1:5" ht="15" customHeight="1" x14ac:dyDescent="0.2">
      <c r="A693" s="27" t="s">
        <v>2075</v>
      </c>
      <c r="B693" t="s">
        <v>2075</v>
      </c>
      <c r="C693" t="s">
        <v>2076</v>
      </c>
      <c r="D693" t="s">
        <v>3468</v>
      </c>
      <c r="E693" t="s">
        <v>3469</v>
      </c>
    </row>
    <row r="694" spans="1:5" ht="15" customHeight="1" x14ac:dyDescent="0.2">
      <c r="A694" s="27" t="s">
        <v>660</v>
      </c>
      <c r="B694" t="s">
        <v>661</v>
      </c>
      <c r="C694" t="s">
        <v>180</v>
      </c>
      <c r="D694" t="s">
        <v>3468</v>
      </c>
      <c r="E694" t="s">
        <v>3469</v>
      </c>
    </row>
    <row r="695" spans="1:5" ht="15" customHeight="1" x14ac:dyDescent="0.2">
      <c r="A695" s="27" t="s">
        <v>1031</v>
      </c>
      <c r="B695" t="s">
        <v>1031</v>
      </c>
      <c r="C695" t="s">
        <v>1734</v>
      </c>
      <c r="D695" t="s">
        <v>3468</v>
      </c>
      <c r="E695" t="s">
        <v>3469</v>
      </c>
    </row>
    <row r="696" spans="1:5" ht="15" customHeight="1" x14ac:dyDescent="0.2">
      <c r="A696" s="27" t="s">
        <v>1032</v>
      </c>
      <c r="B696" t="s">
        <v>1032</v>
      </c>
      <c r="C696" t="s">
        <v>1033</v>
      </c>
      <c r="D696" t="s">
        <v>3468</v>
      </c>
      <c r="E696" t="s">
        <v>3469</v>
      </c>
    </row>
    <row r="697" spans="1:5" ht="15" customHeight="1" x14ac:dyDescent="0.2">
      <c r="A697" s="27" t="s">
        <v>1034</v>
      </c>
      <c r="B697" t="s">
        <v>1034</v>
      </c>
      <c r="C697" t="s">
        <v>1035</v>
      </c>
      <c r="D697" t="s">
        <v>3468</v>
      </c>
      <c r="E697" t="s">
        <v>3469</v>
      </c>
    </row>
    <row r="698" spans="1:5" ht="15" customHeight="1" x14ac:dyDescent="0.2">
      <c r="A698" s="27" t="s">
        <v>1036</v>
      </c>
      <c r="B698" t="s">
        <v>1036</v>
      </c>
      <c r="C698" t="s">
        <v>1037</v>
      </c>
      <c r="D698" t="s">
        <v>3468</v>
      </c>
      <c r="E698" t="s">
        <v>3469</v>
      </c>
    </row>
    <row r="699" spans="1:5" ht="15" customHeight="1" x14ac:dyDescent="0.2">
      <c r="A699" s="27" t="s">
        <v>1038</v>
      </c>
      <c r="B699" t="s">
        <v>1038</v>
      </c>
      <c r="C699" t="s">
        <v>1039</v>
      </c>
      <c r="D699" t="s">
        <v>3468</v>
      </c>
      <c r="E699" t="s">
        <v>3469</v>
      </c>
    </row>
    <row r="700" spans="1:5" ht="15" customHeight="1" x14ac:dyDescent="0.2">
      <c r="A700" s="27" t="s">
        <v>1040</v>
      </c>
      <c r="B700" t="s">
        <v>1040</v>
      </c>
      <c r="C700" t="s">
        <v>1041</v>
      </c>
      <c r="D700" t="s">
        <v>3468</v>
      </c>
      <c r="E700" t="s">
        <v>3469</v>
      </c>
    </row>
    <row r="701" spans="1:5" ht="15" customHeight="1" x14ac:dyDescent="0.2">
      <c r="A701" s="27" t="s">
        <v>1042</v>
      </c>
      <c r="B701" t="s">
        <v>1042</v>
      </c>
      <c r="C701" t="s">
        <v>1043</v>
      </c>
      <c r="D701" t="s">
        <v>3468</v>
      </c>
      <c r="E701" t="s">
        <v>3469</v>
      </c>
    </row>
    <row r="702" spans="1:5" ht="15" customHeight="1" x14ac:dyDescent="0.2">
      <c r="A702" s="27" t="s">
        <v>1044</v>
      </c>
      <c r="B702" t="s">
        <v>1044</v>
      </c>
      <c r="C702" t="s">
        <v>1045</v>
      </c>
      <c r="D702" t="s">
        <v>3468</v>
      </c>
      <c r="E702" t="s">
        <v>3469</v>
      </c>
    </row>
    <row r="703" spans="1:5" ht="15" customHeight="1" x14ac:dyDescent="0.2">
      <c r="A703" s="27" t="s">
        <v>1046</v>
      </c>
      <c r="B703" t="s">
        <v>1046</v>
      </c>
      <c r="C703" t="s">
        <v>1047</v>
      </c>
      <c r="D703" t="s">
        <v>3468</v>
      </c>
      <c r="E703" t="s">
        <v>3469</v>
      </c>
    </row>
    <row r="704" spans="1:5" ht="15" customHeight="1" x14ac:dyDescent="0.2">
      <c r="A704" s="27" t="s">
        <v>1048</v>
      </c>
      <c r="B704" t="s">
        <v>1048</v>
      </c>
      <c r="C704" t="s">
        <v>1049</v>
      </c>
      <c r="D704" t="s">
        <v>3468</v>
      </c>
      <c r="E704" t="s">
        <v>3469</v>
      </c>
    </row>
    <row r="705" spans="1:5" ht="15" customHeight="1" x14ac:dyDescent="0.2">
      <c r="A705" s="27" t="s">
        <v>1050</v>
      </c>
      <c r="B705" t="s">
        <v>1050</v>
      </c>
      <c r="C705" t="s">
        <v>1051</v>
      </c>
      <c r="D705" t="s">
        <v>3468</v>
      </c>
      <c r="E705" t="s">
        <v>3469</v>
      </c>
    </row>
    <row r="706" spans="1:5" ht="15" customHeight="1" x14ac:dyDescent="0.2">
      <c r="A706" s="27" t="s">
        <v>1052</v>
      </c>
      <c r="B706" t="s">
        <v>1052</v>
      </c>
      <c r="C706" t="s">
        <v>1053</v>
      </c>
      <c r="D706" t="s">
        <v>3468</v>
      </c>
      <c r="E706" t="s">
        <v>3469</v>
      </c>
    </row>
    <row r="707" spans="1:5" ht="15" customHeight="1" x14ac:dyDescent="0.2">
      <c r="A707" s="27" t="s">
        <v>1054</v>
      </c>
      <c r="B707" t="s">
        <v>1054</v>
      </c>
      <c r="C707" t="s">
        <v>1055</v>
      </c>
      <c r="D707" t="s">
        <v>3468</v>
      </c>
      <c r="E707" t="s">
        <v>3469</v>
      </c>
    </row>
    <row r="708" spans="1:5" ht="15" customHeight="1" x14ac:dyDescent="0.2">
      <c r="A708" s="27" t="s">
        <v>1056</v>
      </c>
      <c r="B708" t="s">
        <v>1056</v>
      </c>
      <c r="C708" t="s">
        <v>1057</v>
      </c>
      <c r="D708" t="s">
        <v>3468</v>
      </c>
      <c r="E708" t="s">
        <v>3469</v>
      </c>
    </row>
    <row r="709" spans="1:5" ht="15" customHeight="1" x14ac:dyDescent="0.2">
      <c r="A709" s="27" t="s">
        <v>1058</v>
      </c>
      <c r="B709" t="s">
        <v>1058</v>
      </c>
      <c r="C709" t="s">
        <v>1059</v>
      </c>
      <c r="D709" t="s">
        <v>3468</v>
      </c>
      <c r="E709" t="s">
        <v>3469</v>
      </c>
    </row>
    <row r="710" spans="1:5" ht="15" customHeight="1" x14ac:dyDescent="0.2">
      <c r="A710" s="27" t="s">
        <v>1060</v>
      </c>
      <c r="B710" t="s">
        <v>1060</v>
      </c>
      <c r="C710" t="s">
        <v>1061</v>
      </c>
      <c r="D710" t="s">
        <v>3468</v>
      </c>
      <c r="E710" t="s">
        <v>3469</v>
      </c>
    </row>
    <row r="711" spans="1:5" ht="15" customHeight="1" x14ac:dyDescent="0.2">
      <c r="A711" s="27" t="s">
        <v>1062</v>
      </c>
      <c r="B711" t="s">
        <v>1062</v>
      </c>
      <c r="C711" t="s">
        <v>1063</v>
      </c>
      <c r="D711" t="s">
        <v>3468</v>
      </c>
      <c r="E711" t="s">
        <v>3469</v>
      </c>
    </row>
    <row r="712" spans="1:5" ht="15" customHeight="1" x14ac:dyDescent="0.2">
      <c r="A712" s="27" t="s">
        <v>1064</v>
      </c>
      <c r="B712" t="s">
        <v>1064</v>
      </c>
      <c r="C712" t="s">
        <v>1065</v>
      </c>
      <c r="D712" t="s">
        <v>3468</v>
      </c>
      <c r="E712" t="s">
        <v>3469</v>
      </c>
    </row>
    <row r="713" spans="1:5" ht="15" customHeight="1" x14ac:dyDescent="0.2">
      <c r="A713" s="27" t="s">
        <v>1066</v>
      </c>
      <c r="B713" t="s">
        <v>1066</v>
      </c>
      <c r="C713" t="s">
        <v>1067</v>
      </c>
      <c r="D713" t="s">
        <v>3468</v>
      </c>
      <c r="E713" t="s">
        <v>3469</v>
      </c>
    </row>
    <row r="714" spans="1:5" ht="15" customHeight="1" x14ac:dyDescent="0.2">
      <c r="A714" s="27" t="s">
        <v>1068</v>
      </c>
      <c r="B714" t="s">
        <v>1068</v>
      </c>
      <c r="C714" t="s">
        <v>1069</v>
      </c>
      <c r="D714" t="s">
        <v>3468</v>
      </c>
      <c r="E714" t="s">
        <v>3469</v>
      </c>
    </row>
    <row r="715" spans="1:5" ht="15" customHeight="1" x14ac:dyDescent="0.2">
      <c r="A715" s="27" t="s">
        <v>1070</v>
      </c>
      <c r="B715" t="s">
        <v>1070</v>
      </c>
      <c r="C715" t="s">
        <v>1071</v>
      </c>
      <c r="D715" t="s">
        <v>3468</v>
      </c>
      <c r="E715" t="s">
        <v>3469</v>
      </c>
    </row>
    <row r="716" spans="1:5" ht="15" customHeight="1" x14ac:dyDescent="0.2">
      <c r="A716" s="27" t="s">
        <v>1072</v>
      </c>
      <c r="B716" t="s">
        <v>1072</v>
      </c>
      <c r="C716" t="s">
        <v>1073</v>
      </c>
      <c r="D716" t="s">
        <v>3468</v>
      </c>
      <c r="E716" t="s">
        <v>3469</v>
      </c>
    </row>
    <row r="717" spans="1:5" ht="15" customHeight="1" x14ac:dyDescent="0.2">
      <c r="A717" s="27" t="s">
        <v>1074</v>
      </c>
      <c r="B717" t="s">
        <v>1074</v>
      </c>
      <c r="C717" t="s">
        <v>1075</v>
      </c>
      <c r="D717" t="s">
        <v>3468</v>
      </c>
      <c r="E717" t="s">
        <v>3469</v>
      </c>
    </row>
    <row r="718" spans="1:5" ht="15" customHeight="1" x14ac:dyDescent="0.2">
      <c r="A718" s="27" t="s">
        <v>1076</v>
      </c>
      <c r="B718" t="s">
        <v>1076</v>
      </c>
      <c r="C718" t="s">
        <v>1077</v>
      </c>
      <c r="D718" t="s">
        <v>3468</v>
      </c>
      <c r="E718" t="s">
        <v>3469</v>
      </c>
    </row>
    <row r="719" spans="1:5" ht="15" customHeight="1" x14ac:dyDescent="0.2">
      <c r="A719" s="27" t="s">
        <v>1078</v>
      </c>
      <c r="B719" t="s">
        <v>1078</v>
      </c>
      <c r="C719" t="s">
        <v>1079</v>
      </c>
      <c r="D719" t="s">
        <v>3468</v>
      </c>
      <c r="E719" t="s">
        <v>3469</v>
      </c>
    </row>
    <row r="720" spans="1:5" ht="15" customHeight="1" x14ac:dyDescent="0.2">
      <c r="A720" s="27" t="s">
        <v>1080</v>
      </c>
      <c r="B720" t="s">
        <v>1080</v>
      </c>
      <c r="C720" t="s">
        <v>1081</v>
      </c>
      <c r="D720" t="s">
        <v>3468</v>
      </c>
      <c r="E720" t="s">
        <v>3469</v>
      </c>
    </row>
    <row r="721" spans="1:5" ht="15" customHeight="1" x14ac:dyDescent="0.2">
      <c r="A721" s="27" t="s">
        <v>1082</v>
      </c>
      <c r="B721" t="s">
        <v>1082</v>
      </c>
      <c r="C721" t="s">
        <v>1083</v>
      </c>
      <c r="D721" t="s">
        <v>3468</v>
      </c>
      <c r="E721" t="s">
        <v>3469</v>
      </c>
    </row>
    <row r="722" spans="1:5" ht="15" customHeight="1" x14ac:dyDescent="0.2">
      <c r="A722" s="27" t="s">
        <v>1084</v>
      </c>
      <c r="B722" t="s">
        <v>1084</v>
      </c>
      <c r="C722" t="s">
        <v>1085</v>
      </c>
      <c r="D722" t="s">
        <v>3468</v>
      </c>
      <c r="E722" t="s">
        <v>3469</v>
      </c>
    </row>
    <row r="723" spans="1:5" ht="15" customHeight="1" x14ac:dyDescent="0.2">
      <c r="A723" s="27" t="s">
        <v>1086</v>
      </c>
      <c r="B723" t="s">
        <v>1086</v>
      </c>
      <c r="C723" t="s">
        <v>1087</v>
      </c>
      <c r="D723" t="s">
        <v>3468</v>
      </c>
      <c r="E723" t="s">
        <v>3469</v>
      </c>
    </row>
    <row r="724" spans="1:5" ht="15" customHeight="1" x14ac:dyDescent="0.2">
      <c r="A724" s="27" t="s">
        <v>1088</v>
      </c>
      <c r="B724" t="s">
        <v>1088</v>
      </c>
      <c r="C724" t="s">
        <v>1089</v>
      </c>
      <c r="D724" t="s">
        <v>3468</v>
      </c>
      <c r="E724" t="s">
        <v>3469</v>
      </c>
    </row>
    <row r="725" spans="1:5" ht="15" customHeight="1" x14ac:dyDescent="0.2">
      <c r="A725" s="27" t="s">
        <v>1090</v>
      </c>
      <c r="B725" t="s">
        <v>1090</v>
      </c>
      <c r="C725" t="s">
        <v>1091</v>
      </c>
      <c r="D725" t="s">
        <v>3468</v>
      </c>
      <c r="E725" t="s">
        <v>3469</v>
      </c>
    </row>
    <row r="726" spans="1:5" ht="15" customHeight="1" x14ac:dyDescent="0.2">
      <c r="A726" s="27" t="s">
        <v>1092</v>
      </c>
      <c r="B726" t="s">
        <v>1092</v>
      </c>
      <c r="C726" t="s">
        <v>1093</v>
      </c>
      <c r="D726" t="s">
        <v>3468</v>
      </c>
      <c r="E726" t="s">
        <v>3469</v>
      </c>
    </row>
    <row r="727" spans="1:5" ht="15" customHeight="1" x14ac:dyDescent="0.2">
      <c r="A727" s="27" t="s">
        <v>1094</v>
      </c>
      <c r="B727" t="s">
        <v>1094</v>
      </c>
      <c r="C727" t="s">
        <v>1095</v>
      </c>
      <c r="D727" t="s">
        <v>3468</v>
      </c>
      <c r="E727" t="s">
        <v>3469</v>
      </c>
    </row>
    <row r="728" spans="1:5" ht="15" customHeight="1" x14ac:dyDescent="0.2">
      <c r="A728" s="27" t="s">
        <v>1096</v>
      </c>
      <c r="B728" t="s">
        <v>1096</v>
      </c>
      <c r="C728" t="s">
        <v>1097</v>
      </c>
      <c r="D728" t="s">
        <v>3468</v>
      </c>
      <c r="E728" t="s">
        <v>3469</v>
      </c>
    </row>
    <row r="729" spans="1:5" ht="15" customHeight="1" x14ac:dyDescent="0.2">
      <c r="A729" s="27" t="s">
        <v>1098</v>
      </c>
      <c r="B729" t="s">
        <v>1098</v>
      </c>
      <c r="C729" t="s">
        <v>1099</v>
      </c>
      <c r="D729" t="s">
        <v>3468</v>
      </c>
      <c r="E729" t="s">
        <v>3469</v>
      </c>
    </row>
    <row r="730" spans="1:5" ht="15" customHeight="1" x14ac:dyDescent="0.2">
      <c r="A730" s="27" t="s">
        <v>1100</v>
      </c>
      <c r="B730" t="s">
        <v>1100</v>
      </c>
      <c r="C730" t="s">
        <v>1101</v>
      </c>
      <c r="D730" t="s">
        <v>3468</v>
      </c>
      <c r="E730" t="s">
        <v>3469</v>
      </c>
    </row>
    <row r="731" spans="1:5" ht="15" customHeight="1" x14ac:dyDescent="0.2">
      <c r="A731" s="27" t="s">
        <v>1102</v>
      </c>
      <c r="B731" t="s">
        <v>1102</v>
      </c>
      <c r="C731" t="s">
        <v>1103</v>
      </c>
      <c r="D731" t="s">
        <v>3468</v>
      </c>
      <c r="E731" t="s">
        <v>3469</v>
      </c>
    </row>
    <row r="732" spans="1:5" ht="15" customHeight="1" x14ac:dyDescent="0.2">
      <c r="A732" s="27" t="s">
        <v>1104</v>
      </c>
      <c r="B732" t="s">
        <v>1104</v>
      </c>
      <c r="C732" t="s">
        <v>1105</v>
      </c>
      <c r="D732" t="s">
        <v>3468</v>
      </c>
      <c r="E732" t="s">
        <v>3469</v>
      </c>
    </row>
    <row r="733" spans="1:5" ht="15" customHeight="1" x14ac:dyDescent="0.2">
      <c r="A733" s="27" t="s">
        <v>1106</v>
      </c>
      <c r="B733" t="s">
        <v>1106</v>
      </c>
      <c r="C733" t="s">
        <v>1107</v>
      </c>
      <c r="D733" t="s">
        <v>3468</v>
      </c>
      <c r="E733" t="s">
        <v>3469</v>
      </c>
    </row>
    <row r="734" spans="1:5" ht="15" customHeight="1" x14ac:dyDescent="0.2">
      <c r="A734" s="27" t="s">
        <v>1108</v>
      </c>
      <c r="B734" t="s">
        <v>1108</v>
      </c>
      <c r="C734" t="s">
        <v>1109</v>
      </c>
      <c r="D734" t="s">
        <v>3468</v>
      </c>
      <c r="E734" t="s">
        <v>3469</v>
      </c>
    </row>
    <row r="735" spans="1:5" ht="15" customHeight="1" x14ac:dyDescent="0.2">
      <c r="A735" s="27" t="s">
        <v>1110</v>
      </c>
      <c r="B735" t="s">
        <v>1110</v>
      </c>
      <c r="C735" t="s">
        <v>1111</v>
      </c>
      <c r="D735" t="s">
        <v>3468</v>
      </c>
      <c r="E735" t="s">
        <v>3469</v>
      </c>
    </row>
    <row r="736" spans="1:5" ht="15" customHeight="1" x14ac:dyDescent="0.2">
      <c r="A736" s="27" t="s">
        <v>1112</v>
      </c>
      <c r="B736" t="s">
        <v>1112</v>
      </c>
      <c r="C736" t="s">
        <v>1113</v>
      </c>
      <c r="D736" t="s">
        <v>3468</v>
      </c>
      <c r="E736" t="s">
        <v>3469</v>
      </c>
    </row>
    <row r="737" spans="1:5" ht="15" customHeight="1" x14ac:dyDescent="0.2">
      <c r="A737" s="27" t="s">
        <v>1114</v>
      </c>
      <c r="B737" t="s">
        <v>1114</v>
      </c>
      <c r="C737" t="s">
        <v>1115</v>
      </c>
      <c r="D737" t="s">
        <v>3468</v>
      </c>
      <c r="E737" t="s">
        <v>3469</v>
      </c>
    </row>
    <row r="738" spans="1:5" ht="15" customHeight="1" x14ac:dyDescent="0.2">
      <c r="A738" s="27" t="s">
        <v>1116</v>
      </c>
      <c r="B738" t="s">
        <v>1116</v>
      </c>
      <c r="C738" t="s">
        <v>1117</v>
      </c>
      <c r="D738" t="s">
        <v>3468</v>
      </c>
      <c r="E738" t="s">
        <v>3469</v>
      </c>
    </row>
    <row r="739" spans="1:5" ht="15" customHeight="1" x14ac:dyDescent="0.2">
      <c r="A739" s="27" t="s">
        <v>1118</v>
      </c>
      <c r="B739" t="s">
        <v>1118</v>
      </c>
      <c r="C739" t="s">
        <v>1119</v>
      </c>
      <c r="D739" t="s">
        <v>3468</v>
      </c>
      <c r="E739" t="s">
        <v>3469</v>
      </c>
    </row>
    <row r="740" spans="1:5" ht="15" customHeight="1" x14ac:dyDescent="0.2">
      <c r="A740" s="27" t="s">
        <v>1120</v>
      </c>
      <c r="B740" t="s">
        <v>1120</v>
      </c>
      <c r="C740" t="s">
        <v>1121</v>
      </c>
      <c r="D740" t="s">
        <v>3468</v>
      </c>
      <c r="E740" t="s">
        <v>3469</v>
      </c>
    </row>
    <row r="741" spans="1:5" ht="15" customHeight="1" x14ac:dyDescent="0.2">
      <c r="A741" s="27" t="s">
        <v>1122</v>
      </c>
      <c r="B741" t="s">
        <v>1122</v>
      </c>
      <c r="C741" t="s">
        <v>1123</v>
      </c>
      <c r="D741" t="s">
        <v>3468</v>
      </c>
      <c r="E741" t="s">
        <v>3469</v>
      </c>
    </row>
    <row r="742" spans="1:5" ht="15" customHeight="1" x14ac:dyDescent="0.2">
      <c r="A742" s="27" t="s">
        <v>1124</v>
      </c>
      <c r="B742" t="s">
        <v>1124</v>
      </c>
      <c r="C742" t="s">
        <v>1125</v>
      </c>
      <c r="D742" t="s">
        <v>3468</v>
      </c>
      <c r="E742" t="s">
        <v>3469</v>
      </c>
    </row>
    <row r="743" spans="1:5" ht="15" customHeight="1" x14ac:dyDescent="0.2">
      <c r="A743" s="27" t="s">
        <v>1126</v>
      </c>
      <c r="B743" t="s">
        <v>1126</v>
      </c>
      <c r="C743" t="s">
        <v>1127</v>
      </c>
      <c r="D743" t="s">
        <v>3468</v>
      </c>
      <c r="E743" t="s">
        <v>3469</v>
      </c>
    </row>
    <row r="744" spans="1:5" ht="15" customHeight="1" x14ac:dyDescent="0.2">
      <c r="A744" s="27" t="s">
        <v>1128</v>
      </c>
      <c r="B744" t="s">
        <v>1128</v>
      </c>
      <c r="C744" t="s">
        <v>1129</v>
      </c>
      <c r="D744" t="s">
        <v>3468</v>
      </c>
      <c r="E744" t="s">
        <v>3469</v>
      </c>
    </row>
    <row r="745" spans="1:5" ht="15" customHeight="1" x14ac:dyDescent="0.2">
      <c r="A745" s="27" t="s">
        <v>1130</v>
      </c>
      <c r="B745" t="s">
        <v>1130</v>
      </c>
      <c r="C745" t="s">
        <v>1131</v>
      </c>
      <c r="D745" t="s">
        <v>3468</v>
      </c>
      <c r="E745" t="s">
        <v>3469</v>
      </c>
    </row>
    <row r="746" spans="1:5" ht="15" customHeight="1" x14ac:dyDescent="0.2">
      <c r="A746" s="27" t="s">
        <v>1029</v>
      </c>
      <c r="B746" t="s">
        <v>1029</v>
      </c>
      <c r="C746" t="s">
        <v>1030</v>
      </c>
      <c r="D746" t="s">
        <v>3468</v>
      </c>
      <c r="E746" t="s">
        <v>3469</v>
      </c>
    </row>
    <row r="747" spans="1:5" ht="15" customHeight="1" x14ac:dyDescent="0.2">
      <c r="A747" s="27" t="s">
        <v>1027</v>
      </c>
      <c r="B747" t="s">
        <v>1027</v>
      </c>
      <c r="C747" t="s">
        <v>1028</v>
      </c>
      <c r="D747" t="s">
        <v>3468</v>
      </c>
      <c r="E747" t="s">
        <v>3469</v>
      </c>
    </row>
    <row r="748" spans="1:5" ht="15" customHeight="1" x14ac:dyDescent="0.2">
      <c r="A748" s="27" t="s">
        <v>1735</v>
      </c>
      <c r="B748" t="s">
        <v>1735</v>
      </c>
      <c r="C748" t="s">
        <v>1736</v>
      </c>
      <c r="D748" t="s">
        <v>3468</v>
      </c>
      <c r="E748" t="s">
        <v>3469</v>
      </c>
    </row>
    <row r="749" spans="1:5" ht="15" customHeight="1" x14ac:dyDescent="0.2">
      <c r="A749" s="27" t="s">
        <v>1831</v>
      </c>
      <c r="B749" t="s">
        <v>1832</v>
      </c>
      <c r="C749" t="s">
        <v>1833</v>
      </c>
      <c r="D749" t="s">
        <v>3468</v>
      </c>
      <c r="E749" t="s">
        <v>3469</v>
      </c>
    </row>
    <row r="750" spans="1:5" ht="15" customHeight="1" x14ac:dyDescent="0.2">
      <c r="A750" s="27" t="s">
        <v>1830</v>
      </c>
      <c r="B750" t="s">
        <v>1830</v>
      </c>
      <c r="C750" t="s">
        <v>1834</v>
      </c>
      <c r="D750" t="s">
        <v>3468</v>
      </c>
      <c r="E750" t="s">
        <v>3469</v>
      </c>
    </row>
    <row r="751" spans="1:5" ht="15" customHeight="1" x14ac:dyDescent="0.2">
      <c r="A751" s="27" t="s">
        <v>1870</v>
      </c>
      <c r="B751" t="s">
        <v>1873</v>
      </c>
      <c r="C751" t="s">
        <v>1874</v>
      </c>
      <c r="D751" t="s">
        <v>3468</v>
      </c>
      <c r="E751" t="s">
        <v>3469</v>
      </c>
    </row>
    <row r="752" spans="1:5" ht="15" customHeight="1" x14ac:dyDescent="0.2">
      <c r="A752" s="27" t="s">
        <v>1871</v>
      </c>
      <c r="B752" t="s">
        <v>1872</v>
      </c>
      <c r="C752" t="s">
        <v>1875</v>
      </c>
      <c r="D752" t="s">
        <v>3468</v>
      </c>
      <c r="E752" t="s">
        <v>3469</v>
      </c>
    </row>
    <row r="753" spans="1:5" ht="15" customHeight="1" x14ac:dyDescent="0.2">
      <c r="A753" t="s">
        <v>108</v>
      </c>
      <c r="B753" t="s">
        <v>108</v>
      </c>
      <c r="C753" t="s">
        <v>109</v>
      </c>
      <c r="D753" t="s">
        <v>3468</v>
      </c>
      <c r="E753" t="s">
        <v>3469</v>
      </c>
    </row>
    <row r="754" spans="1:5" ht="15" customHeight="1" x14ac:dyDescent="0.2">
      <c r="A754" s="27">
        <v>30016</v>
      </c>
      <c r="B754">
        <v>30016</v>
      </c>
      <c r="C754" t="s">
        <v>78</v>
      </c>
      <c r="D754" t="s">
        <v>839</v>
      </c>
      <c r="E754" t="s">
        <v>3469</v>
      </c>
    </row>
    <row r="755" spans="1:5" ht="15" customHeight="1" x14ac:dyDescent="0.2">
      <c r="A755" s="27">
        <v>30017</v>
      </c>
      <c r="B755">
        <v>30017</v>
      </c>
      <c r="C755" t="s">
        <v>79</v>
      </c>
      <c r="D755" t="s">
        <v>3468</v>
      </c>
      <c r="E755" t="s">
        <v>3469</v>
      </c>
    </row>
    <row r="756" spans="1:5" ht="15" customHeight="1" x14ac:dyDescent="0.2">
      <c r="A756" s="27">
        <v>30019</v>
      </c>
      <c r="B756">
        <v>30019</v>
      </c>
      <c r="C756" t="s">
        <v>80</v>
      </c>
      <c r="D756" t="s">
        <v>3468</v>
      </c>
      <c r="E756" t="s">
        <v>3469</v>
      </c>
    </row>
    <row r="757" spans="1:5" ht="15" customHeight="1" x14ac:dyDescent="0.2">
      <c r="A757" s="27">
        <v>30020</v>
      </c>
      <c r="B757">
        <v>30020</v>
      </c>
      <c r="C757" t="s">
        <v>81</v>
      </c>
      <c r="D757" t="s">
        <v>3468</v>
      </c>
      <c r="E757" t="s">
        <v>3469</v>
      </c>
    </row>
    <row r="758" spans="1:5" ht="15" customHeight="1" x14ac:dyDescent="0.2">
      <c r="A758" s="27" t="s">
        <v>112</v>
      </c>
      <c r="B758" t="s">
        <v>112</v>
      </c>
      <c r="C758" t="s">
        <v>113</v>
      </c>
      <c r="D758" t="s">
        <v>3468</v>
      </c>
      <c r="E758" t="s">
        <v>3469</v>
      </c>
    </row>
    <row r="759" spans="1:5" ht="15" customHeight="1" x14ac:dyDescent="0.2">
      <c r="A759" s="27" t="s">
        <v>114</v>
      </c>
      <c r="B759" t="s">
        <v>114</v>
      </c>
      <c r="C759" t="s">
        <v>115</v>
      </c>
      <c r="D759" t="s">
        <v>3468</v>
      </c>
      <c r="E759" t="s">
        <v>3469</v>
      </c>
    </row>
    <row r="760" spans="1:5" ht="15" customHeight="1" x14ac:dyDescent="0.2">
      <c r="A760" s="27" t="s">
        <v>125</v>
      </c>
      <c r="B760" t="s">
        <v>126</v>
      </c>
      <c r="C760" t="s">
        <v>127</v>
      </c>
      <c r="D760" t="s">
        <v>3468</v>
      </c>
      <c r="E760" t="s">
        <v>3469</v>
      </c>
    </row>
    <row r="761" spans="1:5" ht="15" customHeight="1" x14ac:dyDescent="0.2">
      <c r="A761" s="27" t="s">
        <v>170</v>
      </c>
      <c r="B761" t="s">
        <v>170</v>
      </c>
      <c r="C761" t="s">
        <v>171</v>
      </c>
      <c r="D761" t="s">
        <v>3468</v>
      </c>
      <c r="E761" t="s">
        <v>3469</v>
      </c>
    </row>
    <row r="762" spans="1:5" ht="15" customHeight="1" x14ac:dyDescent="0.2">
      <c r="A762" s="27" t="s">
        <v>172</v>
      </c>
      <c r="B762" s="27" t="s">
        <v>172</v>
      </c>
      <c r="C762" t="s">
        <v>173</v>
      </c>
      <c r="D762" t="s">
        <v>3468</v>
      </c>
      <c r="E762" t="s">
        <v>3469</v>
      </c>
    </row>
    <row r="763" spans="1:5" ht="15" customHeight="1" x14ac:dyDescent="0.2">
      <c r="A763" s="27" t="s">
        <v>183</v>
      </c>
      <c r="B763" s="27" t="s">
        <v>183</v>
      </c>
      <c r="C763" t="s">
        <v>184</v>
      </c>
      <c r="D763" t="s">
        <v>3468</v>
      </c>
      <c r="E763" t="s">
        <v>3469</v>
      </c>
    </row>
    <row r="764" spans="1:5" ht="15" customHeight="1" x14ac:dyDescent="0.2">
      <c r="A764" s="27" t="s">
        <v>185</v>
      </c>
      <c r="B764" s="27" t="s">
        <v>186</v>
      </c>
      <c r="C764" t="s">
        <v>187</v>
      </c>
      <c r="D764" t="s">
        <v>3468</v>
      </c>
      <c r="E764" t="s">
        <v>3469</v>
      </c>
    </row>
    <row r="765" spans="1:5" ht="15" customHeight="1" x14ac:dyDescent="0.2">
      <c r="A765" s="27" t="s">
        <v>188</v>
      </c>
      <c r="B765" s="27" t="s">
        <v>188</v>
      </c>
      <c r="C765" t="s">
        <v>189</v>
      </c>
      <c r="D765" t="s">
        <v>3468</v>
      </c>
      <c r="E765" t="s">
        <v>3469</v>
      </c>
    </row>
    <row r="766" spans="1:5" ht="15" customHeight="1" x14ac:dyDescent="0.2">
      <c r="A766" s="27" t="s">
        <v>190</v>
      </c>
      <c r="B766" s="27" t="s">
        <v>191</v>
      </c>
      <c r="C766" t="s">
        <v>192</v>
      </c>
      <c r="D766" t="s">
        <v>3468</v>
      </c>
      <c r="E766" t="s">
        <v>3469</v>
      </c>
    </row>
    <row r="767" spans="1:5" ht="15" customHeight="1" x14ac:dyDescent="0.2">
      <c r="A767" s="27" t="s">
        <v>193</v>
      </c>
      <c r="B767" s="27" t="s">
        <v>193</v>
      </c>
      <c r="C767" t="s">
        <v>194</v>
      </c>
      <c r="D767" t="s">
        <v>3468</v>
      </c>
      <c r="E767" t="s">
        <v>3469</v>
      </c>
    </row>
    <row r="768" spans="1:5" ht="15" customHeight="1" x14ac:dyDescent="0.2">
      <c r="A768" s="27" t="s">
        <v>195</v>
      </c>
      <c r="B768" s="27" t="s">
        <v>196</v>
      </c>
      <c r="C768" t="s">
        <v>197</v>
      </c>
      <c r="D768" t="s">
        <v>3468</v>
      </c>
      <c r="E768" t="s">
        <v>3469</v>
      </c>
    </row>
    <row r="769" spans="1:5" ht="15" customHeight="1" x14ac:dyDescent="0.2">
      <c r="A769" s="27" t="s">
        <v>198</v>
      </c>
      <c r="B769" s="27" t="s">
        <v>198</v>
      </c>
      <c r="C769" t="s">
        <v>199</v>
      </c>
      <c r="D769" t="s">
        <v>3468</v>
      </c>
      <c r="E769" t="s">
        <v>3469</v>
      </c>
    </row>
    <row r="770" spans="1:5" ht="15" customHeight="1" x14ac:dyDescent="0.2">
      <c r="A770" s="27" t="s">
        <v>200</v>
      </c>
      <c r="B770" s="27" t="s">
        <v>200</v>
      </c>
      <c r="C770" t="s">
        <v>201</v>
      </c>
      <c r="D770" t="s">
        <v>3468</v>
      </c>
      <c r="E770" t="s">
        <v>3469</v>
      </c>
    </row>
    <row r="771" spans="1:5" ht="15" customHeight="1" x14ac:dyDescent="0.2">
      <c r="A771" s="27" t="s">
        <v>202</v>
      </c>
      <c r="B771" s="27" t="s">
        <v>203</v>
      </c>
      <c r="C771" t="s">
        <v>204</v>
      </c>
      <c r="D771" t="s">
        <v>3468</v>
      </c>
      <c r="E771" t="s">
        <v>3469</v>
      </c>
    </row>
    <row r="772" spans="1:5" ht="15" customHeight="1" x14ac:dyDescent="0.2">
      <c r="A772" s="27" t="s">
        <v>205</v>
      </c>
      <c r="B772" s="27" t="s">
        <v>206</v>
      </c>
      <c r="C772" t="s">
        <v>207</v>
      </c>
      <c r="D772" t="s">
        <v>3468</v>
      </c>
      <c r="E772" t="s">
        <v>3469</v>
      </c>
    </row>
    <row r="773" spans="1:5" ht="15" customHeight="1" x14ac:dyDescent="0.2">
      <c r="A773" s="27" t="s">
        <v>208</v>
      </c>
      <c r="B773" s="27" t="s">
        <v>208</v>
      </c>
      <c r="C773" t="s">
        <v>211</v>
      </c>
      <c r="D773" t="s">
        <v>3468</v>
      </c>
      <c r="E773" t="s">
        <v>3469</v>
      </c>
    </row>
    <row r="774" spans="1:5" ht="15" customHeight="1" x14ac:dyDescent="0.2">
      <c r="A774" s="27" t="s">
        <v>209</v>
      </c>
      <c r="B774" s="27" t="s">
        <v>209</v>
      </c>
      <c r="C774" t="s">
        <v>212</v>
      </c>
      <c r="D774" t="s">
        <v>3468</v>
      </c>
      <c r="E774" t="s">
        <v>3469</v>
      </c>
    </row>
    <row r="775" spans="1:5" ht="15" customHeight="1" x14ac:dyDescent="0.2">
      <c r="A775" s="27" t="s">
        <v>213</v>
      </c>
      <c r="B775" s="27" t="s">
        <v>213</v>
      </c>
      <c r="C775" t="s">
        <v>214</v>
      </c>
      <c r="D775" t="s">
        <v>3468</v>
      </c>
      <c r="E775" t="s">
        <v>3469</v>
      </c>
    </row>
    <row r="776" spans="1:5" ht="15" customHeight="1" x14ac:dyDescent="0.2">
      <c r="A776" s="27" t="s">
        <v>215</v>
      </c>
      <c r="B776" s="27" t="s">
        <v>215</v>
      </c>
      <c r="C776" t="s">
        <v>216</v>
      </c>
      <c r="D776" t="s">
        <v>3468</v>
      </c>
      <c r="E776" t="s">
        <v>3469</v>
      </c>
    </row>
    <row r="777" spans="1:5" ht="15" customHeight="1" x14ac:dyDescent="0.2">
      <c r="A777" s="27" t="s">
        <v>217</v>
      </c>
      <c r="B777" s="27" t="s">
        <v>217</v>
      </c>
      <c r="C777" t="s">
        <v>218</v>
      </c>
      <c r="D777" t="s">
        <v>3468</v>
      </c>
      <c r="E777" t="s">
        <v>3469</v>
      </c>
    </row>
    <row r="778" spans="1:5" ht="15" customHeight="1" x14ac:dyDescent="0.2">
      <c r="A778" s="27" t="s">
        <v>219</v>
      </c>
      <c r="B778" s="27" t="s">
        <v>219</v>
      </c>
      <c r="C778" t="s">
        <v>220</v>
      </c>
      <c r="D778" t="s">
        <v>3468</v>
      </c>
      <c r="E778" t="s">
        <v>3469</v>
      </c>
    </row>
    <row r="779" spans="1:5" ht="15" customHeight="1" x14ac:dyDescent="0.2">
      <c r="A779" s="27" t="s">
        <v>222</v>
      </c>
      <c r="B779" s="27" t="s">
        <v>222</v>
      </c>
      <c r="C779" t="s">
        <v>223</v>
      </c>
      <c r="D779" t="s">
        <v>3468</v>
      </c>
      <c r="E779" t="s">
        <v>3469</v>
      </c>
    </row>
    <row r="780" spans="1:5" ht="15" customHeight="1" x14ac:dyDescent="0.2">
      <c r="A780" s="27" t="s">
        <v>224</v>
      </c>
      <c r="B780" s="27" t="s">
        <v>224</v>
      </c>
      <c r="C780" t="s">
        <v>2709</v>
      </c>
      <c r="D780" t="s">
        <v>3468</v>
      </c>
      <c r="E780" t="s">
        <v>3469</v>
      </c>
    </row>
    <row r="781" spans="1:5" ht="15" customHeight="1" x14ac:dyDescent="0.2">
      <c r="A781" s="27" t="s">
        <v>225</v>
      </c>
      <c r="B781" s="27" t="s">
        <v>225</v>
      </c>
      <c r="C781" t="s">
        <v>226</v>
      </c>
      <c r="D781" t="s">
        <v>3468</v>
      </c>
      <c r="E781" t="s">
        <v>3469</v>
      </c>
    </row>
    <row r="782" spans="1:5" ht="15" customHeight="1" x14ac:dyDescent="0.2">
      <c r="A782" s="27" t="s">
        <v>227</v>
      </c>
      <c r="B782" s="27" t="s">
        <v>227</v>
      </c>
      <c r="C782" t="s">
        <v>228</v>
      </c>
      <c r="D782" t="s">
        <v>3468</v>
      </c>
      <c r="E782" t="s">
        <v>3469</v>
      </c>
    </row>
    <row r="783" spans="1:5" ht="15" customHeight="1" x14ac:dyDescent="0.2">
      <c r="A783" s="27" t="s">
        <v>2708</v>
      </c>
      <c r="B783" s="27" t="s">
        <v>2708</v>
      </c>
      <c r="C783" t="s">
        <v>2709</v>
      </c>
      <c r="D783" t="s">
        <v>3468</v>
      </c>
      <c r="E783" t="s">
        <v>3469</v>
      </c>
    </row>
    <row r="784" spans="1:5" ht="15" customHeight="1" x14ac:dyDescent="0.2">
      <c r="A784" s="27" t="s">
        <v>693</v>
      </c>
      <c r="B784" s="27" t="s">
        <v>693</v>
      </c>
      <c r="C784" t="s">
        <v>697</v>
      </c>
      <c r="D784" t="s">
        <v>3468</v>
      </c>
      <c r="E784" t="s">
        <v>3469</v>
      </c>
    </row>
    <row r="785" spans="1:5" ht="15" customHeight="1" x14ac:dyDescent="0.2">
      <c r="A785" s="27" t="s">
        <v>694</v>
      </c>
      <c r="B785" s="27" t="s">
        <v>694</v>
      </c>
      <c r="C785" t="s">
        <v>698</v>
      </c>
      <c r="D785" t="s">
        <v>3468</v>
      </c>
      <c r="E785" t="s">
        <v>3469</v>
      </c>
    </row>
    <row r="786" spans="1:5" ht="15" customHeight="1" x14ac:dyDescent="0.2">
      <c r="A786" s="27" t="s">
        <v>695</v>
      </c>
      <c r="B786" s="27" t="s">
        <v>695</v>
      </c>
      <c r="C786" t="s">
        <v>699</v>
      </c>
      <c r="D786" t="s">
        <v>3468</v>
      </c>
      <c r="E786" t="s">
        <v>3469</v>
      </c>
    </row>
    <row r="787" spans="1:5" ht="15" customHeight="1" x14ac:dyDescent="0.2">
      <c r="A787" s="27" t="s">
        <v>696</v>
      </c>
      <c r="B787" s="27" t="s">
        <v>696</v>
      </c>
      <c r="C787" t="s">
        <v>700</v>
      </c>
      <c r="D787" t="s">
        <v>3468</v>
      </c>
      <c r="E787" t="s">
        <v>3469</v>
      </c>
    </row>
    <row r="788" spans="1:5" ht="15" customHeight="1" x14ac:dyDescent="0.2">
      <c r="A788" s="27" t="s">
        <v>784</v>
      </c>
      <c r="B788" s="27" t="s">
        <v>783</v>
      </c>
      <c r="C788" t="s">
        <v>785</v>
      </c>
      <c r="D788" t="s">
        <v>3468</v>
      </c>
      <c r="E788" t="s">
        <v>3469</v>
      </c>
    </row>
    <row r="789" spans="1:5" ht="15" customHeight="1" x14ac:dyDescent="0.2">
      <c r="A789" s="27" t="s">
        <v>781</v>
      </c>
      <c r="B789" s="27" t="s">
        <v>781</v>
      </c>
      <c r="C789" t="s">
        <v>782</v>
      </c>
      <c r="D789" t="s">
        <v>3468</v>
      </c>
      <c r="E789" t="s">
        <v>3469</v>
      </c>
    </row>
    <row r="790" spans="1:5" ht="15" customHeight="1" x14ac:dyDescent="0.2">
      <c r="A790" s="27" t="s">
        <v>786</v>
      </c>
      <c r="B790" s="27" t="s">
        <v>787</v>
      </c>
      <c r="C790" t="s">
        <v>788</v>
      </c>
      <c r="D790" t="s">
        <v>3468</v>
      </c>
      <c r="E790" t="s">
        <v>3469</v>
      </c>
    </row>
    <row r="791" spans="1:5" ht="15" customHeight="1" x14ac:dyDescent="0.2">
      <c r="A791" s="27" t="s">
        <v>796</v>
      </c>
      <c r="B791" s="27" t="s">
        <v>797</v>
      </c>
      <c r="C791" t="s">
        <v>798</v>
      </c>
      <c r="D791" t="s">
        <v>3468</v>
      </c>
      <c r="E791" t="s">
        <v>3469</v>
      </c>
    </row>
    <row r="792" spans="1:5" ht="15" customHeight="1" x14ac:dyDescent="0.2">
      <c r="A792" s="27" t="s">
        <v>800</v>
      </c>
      <c r="B792" s="27" t="s">
        <v>800</v>
      </c>
      <c r="C792" t="s">
        <v>806</v>
      </c>
      <c r="D792" t="s">
        <v>3468</v>
      </c>
      <c r="E792" t="s">
        <v>3469</v>
      </c>
    </row>
    <row r="793" spans="1:5" ht="15" customHeight="1" x14ac:dyDescent="0.2">
      <c r="A793" s="27" t="s">
        <v>801</v>
      </c>
      <c r="B793" s="27" t="s">
        <v>801</v>
      </c>
      <c r="C793" t="s">
        <v>807</v>
      </c>
      <c r="D793" t="s">
        <v>3468</v>
      </c>
      <c r="E793" t="s">
        <v>3469</v>
      </c>
    </row>
    <row r="794" spans="1:5" ht="15" customHeight="1" x14ac:dyDescent="0.2">
      <c r="A794" s="27" t="s">
        <v>802</v>
      </c>
      <c r="B794" s="27" t="s">
        <v>802</v>
      </c>
      <c r="C794" t="s">
        <v>808</v>
      </c>
      <c r="D794" t="s">
        <v>3468</v>
      </c>
      <c r="E794" t="s">
        <v>3469</v>
      </c>
    </row>
    <row r="795" spans="1:5" ht="15" customHeight="1" x14ac:dyDescent="0.2">
      <c r="A795" s="27" t="s">
        <v>803</v>
      </c>
      <c r="B795" s="27" t="s">
        <v>803</v>
      </c>
      <c r="C795" t="s">
        <v>809</v>
      </c>
      <c r="D795" t="s">
        <v>3468</v>
      </c>
      <c r="E795" t="s">
        <v>3469</v>
      </c>
    </row>
    <row r="796" spans="1:5" ht="15" customHeight="1" x14ac:dyDescent="0.2">
      <c r="A796" s="27" t="s">
        <v>804</v>
      </c>
      <c r="B796" s="27" t="s">
        <v>804</v>
      </c>
      <c r="C796" t="s">
        <v>811</v>
      </c>
      <c r="D796" t="s">
        <v>3468</v>
      </c>
      <c r="E796" t="s">
        <v>3469</v>
      </c>
    </row>
    <row r="797" spans="1:5" ht="15" customHeight="1" x14ac:dyDescent="0.2">
      <c r="A797" s="27" t="s">
        <v>805</v>
      </c>
      <c r="B797" s="27" t="s">
        <v>805</v>
      </c>
      <c r="C797" t="s">
        <v>810</v>
      </c>
      <c r="D797" t="s">
        <v>3468</v>
      </c>
      <c r="E797" t="s">
        <v>3469</v>
      </c>
    </row>
    <row r="798" spans="1:5" ht="15" customHeight="1" x14ac:dyDescent="0.2">
      <c r="A798" s="27" t="s">
        <v>897</v>
      </c>
      <c r="B798" s="27" t="s">
        <v>898</v>
      </c>
      <c r="C798" t="s">
        <v>899</v>
      </c>
      <c r="D798" t="s">
        <v>3468</v>
      </c>
      <c r="E798" t="s">
        <v>3469</v>
      </c>
    </row>
    <row r="799" spans="1:5" ht="15" customHeight="1" x14ac:dyDescent="0.2">
      <c r="A799" s="27" t="s">
        <v>3064</v>
      </c>
      <c r="B799" s="27" t="s">
        <v>3064</v>
      </c>
      <c r="C799" t="s">
        <v>3065</v>
      </c>
      <c r="D799" t="s">
        <v>3468</v>
      </c>
      <c r="E799" t="s">
        <v>3469</v>
      </c>
    </row>
    <row r="800" spans="1:5" ht="15" customHeight="1" x14ac:dyDescent="0.2">
      <c r="A800" s="27" t="s">
        <v>3066</v>
      </c>
      <c r="B800" s="27" t="s">
        <v>3066</v>
      </c>
      <c r="C800" t="s">
        <v>3067</v>
      </c>
      <c r="D800" t="s">
        <v>3468</v>
      </c>
      <c r="E800" t="s">
        <v>3469</v>
      </c>
    </row>
    <row r="801" spans="1:5" ht="15" customHeight="1" x14ac:dyDescent="0.2">
      <c r="A801" s="27" t="s">
        <v>3068</v>
      </c>
      <c r="B801" s="27" t="s">
        <v>3068</v>
      </c>
      <c r="C801" t="s">
        <v>3069</v>
      </c>
      <c r="D801" t="s">
        <v>3468</v>
      </c>
      <c r="E801" t="s">
        <v>3469</v>
      </c>
    </row>
    <row r="802" spans="1:5" ht="15" customHeight="1" x14ac:dyDescent="0.2">
      <c r="A802" s="27" t="s">
        <v>3070</v>
      </c>
      <c r="B802" s="27" t="s">
        <v>3070</v>
      </c>
      <c r="C802" t="s">
        <v>3071</v>
      </c>
      <c r="D802" t="s">
        <v>3468</v>
      </c>
      <c r="E802" t="s">
        <v>3469</v>
      </c>
    </row>
    <row r="803" spans="1:5" ht="15" customHeight="1" x14ac:dyDescent="0.2">
      <c r="A803" s="27" t="s">
        <v>3579</v>
      </c>
      <c r="B803" s="27" t="s">
        <v>3579</v>
      </c>
      <c r="C803" t="s">
        <v>3580</v>
      </c>
      <c r="D803" t="s">
        <v>3468</v>
      </c>
      <c r="E803" t="s">
        <v>3469</v>
      </c>
    </row>
    <row r="804" spans="1:5" ht="15" customHeight="1" x14ac:dyDescent="0.2">
      <c r="A804" s="27" t="s">
        <v>1000</v>
      </c>
      <c r="B804" s="27" t="s">
        <v>1000</v>
      </c>
      <c r="C804" t="s">
        <v>3675</v>
      </c>
      <c r="D804" t="s">
        <v>3468</v>
      </c>
      <c r="E804" t="s">
        <v>3469</v>
      </c>
    </row>
    <row r="805" spans="1:5" ht="15" customHeight="1" x14ac:dyDescent="0.2">
      <c r="A805" s="27" t="s">
        <v>3673</v>
      </c>
      <c r="B805" s="27" t="s">
        <v>3673</v>
      </c>
      <c r="C805" t="s">
        <v>3676</v>
      </c>
      <c r="D805" t="s">
        <v>3468</v>
      </c>
      <c r="E805" t="s">
        <v>3469</v>
      </c>
    </row>
    <row r="806" spans="1:5" ht="15" customHeight="1" x14ac:dyDescent="0.2">
      <c r="A806" s="27" t="s">
        <v>3674</v>
      </c>
      <c r="B806" s="27" t="s">
        <v>3674</v>
      </c>
      <c r="C806" t="s">
        <v>3677</v>
      </c>
      <c r="D806" t="s">
        <v>3468</v>
      </c>
      <c r="E806" t="s">
        <v>3469</v>
      </c>
    </row>
    <row r="807" spans="1:5" ht="15" customHeight="1" x14ac:dyDescent="0.2">
      <c r="A807" s="27" t="s">
        <v>3614</v>
      </c>
      <c r="B807" s="27" t="s">
        <v>3614</v>
      </c>
      <c r="C807" t="s">
        <v>3615</v>
      </c>
      <c r="D807" t="s">
        <v>3468</v>
      </c>
      <c r="E807" t="s">
        <v>3469</v>
      </c>
    </row>
    <row r="808" spans="1:5" ht="15" customHeight="1" x14ac:dyDescent="0.2">
      <c r="A808" s="27">
        <v>31947</v>
      </c>
      <c r="B808">
        <v>31947</v>
      </c>
      <c r="C808" t="s">
        <v>1147</v>
      </c>
      <c r="D808" t="s">
        <v>1158</v>
      </c>
      <c r="E808" t="s">
        <v>1158</v>
      </c>
    </row>
    <row r="809" spans="1:5" ht="15" customHeight="1" x14ac:dyDescent="0.2">
      <c r="A809" s="27">
        <v>43270</v>
      </c>
      <c r="B809">
        <v>43270</v>
      </c>
      <c r="C809" t="s">
        <v>1151</v>
      </c>
      <c r="D809" t="s">
        <v>1158</v>
      </c>
      <c r="E809" t="s">
        <v>1158</v>
      </c>
    </row>
    <row r="810" spans="1:5" ht="15" customHeight="1" x14ac:dyDescent="0.2">
      <c r="A810" s="27">
        <v>43279</v>
      </c>
      <c r="B810">
        <v>43279</v>
      </c>
      <c r="C810" t="s">
        <v>1152</v>
      </c>
      <c r="D810" t="s">
        <v>1158</v>
      </c>
      <c r="E810" t="s">
        <v>1158</v>
      </c>
    </row>
    <row r="811" spans="1:5" ht="15" customHeight="1" x14ac:dyDescent="0.2">
      <c r="A811" s="27">
        <v>43280</v>
      </c>
      <c r="B811">
        <v>43280</v>
      </c>
      <c r="C811" t="s">
        <v>1153</v>
      </c>
      <c r="D811" t="s">
        <v>1158</v>
      </c>
      <c r="E811" t="s">
        <v>1158</v>
      </c>
    </row>
    <row r="812" spans="1:5" ht="15" customHeight="1" x14ac:dyDescent="0.2">
      <c r="A812" s="27">
        <v>49125</v>
      </c>
      <c r="B812">
        <v>49125</v>
      </c>
      <c r="C812" t="s">
        <v>1154</v>
      </c>
      <c r="D812" t="s">
        <v>1158</v>
      </c>
      <c r="E812" t="s">
        <v>1158</v>
      </c>
    </row>
    <row r="813" spans="1:5" ht="15" customHeight="1" x14ac:dyDescent="0.2">
      <c r="A813" s="27">
        <v>49130</v>
      </c>
      <c r="B813">
        <v>49130</v>
      </c>
      <c r="C813" t="s">
        <v>1155</v>
      </c>
      <c r="D813" t="s">
        <v>1158</v>
      </c>
      <c r="E813" t="s">
        <v>1158</v>
      </c>
    </row>
    <row r="814" spans="1:5" ht="15" customHeight="1" x14ac:dyDescent="0.2">
      <c r="A814" s="27">
        <v>51230</v>
      </c>
      <c r="B814">
        <v>51230</v>
      </c>
      <c r="C814" t="s">
        <v>1156</v>
      </c>
      <c r="D814" t="s">
        <v>1158</v>
      </c>
      <c r="E814" t="s">
        <v>1158</v>
      </c>
    </row>
    <row r="815" spans="1:5" ht="15" customHeight="1" x14ac:dyDescent="0.2">
      <c r="A815" s="27">
        <v>137672</v>
      </c>
      <c r="B815">
        <v>137672</v>
      </c>
      <c r="C815" t="s">
        <v>1157</v>
      </c>
      <c r="D815" t="s">
        <v>1158</v>
      </c>
      <c r="E815" t="s">
        <v>1158</v>
      </c>
    </row>
    <row r="816" spans="1:5" ht="15" customHeight="1" x14ac:dyDescent="0.2">
      <c r="A816" s="27">
        <v>264614</v>
      </c>
      <c r="B816">
        <v>264614</v>
      </c>
      <c r="C816" t="s">
        <v>1144</v>
      </c>
      <c r="D816" t="s">
        <v>1158</v>
      </c>
      <c r="E816" t="s">
        <v>1158</v>
      </c>
    </row>
    <row r="817" spans="1:5" ht="15" customHeight="1" x14ac:dyDescent="0.2">
      <c r="A817" s="27">
        <v>264615</v>
      </c>
      <c r="B817">
        <v>264615</v>
      </c>
      <c r="C817" t="s">
        <v>1145</v>
      </c>
      <c r="D817" t="s">
        <v>1158</v>
      </c>
      <c r="E817" t="s">
        <v>1158</v>
      </c>
    </row>
    <row r="818" spans="1:5" ht="15" customHeight="1" x14ac:dyDescent="0.2">
      <c r="A818" s="27">
        <v>319145</v>
      </c>
      <c r="B818">
        <v>319145</v>
      </c>
      <c r="C818" t="s">
        <v>1146</v>
      </c>
      <c r="D818" t="s">
        <v>1158</v>
      </c>
      <c r="E818" t="s">
        <v>1158</v>
      </c>
    </row>
    <row r="819" spans="1:5" ht="15" customHeight="1" x14ac:dyDescent="0.2">
      <c r="A819" s="27">
        <v>335252</v>
      </c>
      <c r="B819">
        <v>335252</v>
      </c>
      <c r="C819" t="s">
        <v>1148</v>
      </c>
      <c r="D819" t="s">
        <v>1158</v>
      </c>
      <c r="E819" t="s">
        <v>1158</v>
      </c>
    </row>
    <row r="820" spans="1:5" ht="15" customHeight="1" x14ac:dyDescent="0.2">
      <c r="A820" s="27">
        <v>414895</v>
      </c>
      <c r="B820">
        <v>414895</v>
      </c>
      <c r="C820" t="s">
        <v>1149</v>
      </c>
      <c r="D820" t="s">
        <v>1158</v>
      </c>
      <c r="E820" t="s">
        <v>1158</v>
      </c>
    </row>
    <row r="821" spans="1:5" ht="15" customHeight="1" x14ac:dyDescent="0.2">
      <c r="A821" s="27">
        <v>414897</v>
      </c>
      <c r="B821">
        <v>414897</v>
      </c>
      <c r="C821" t="s">
        <v>1150</v>
      </c>
      <c r="D821" t="s">
        <v>1158</v>
      </c>
      <c r="E821" t="s">
        <v>1158</v>
      </c>
    </row>
    <row r="822" spans="1:5" ht="15" customHeight="1" x14ac:dyDescent="0.2">
      <c r="A822" s="27">
        <v>863284</v>
      </c>
      <c r="B822">
        <v>863284</v>
      </c>
      <c r="C822" t="s">
        <v>1132</v>
      </c>
      <c r="D822" t="s">
        <v>1158</v>
      </c>
      <c r="E822" t="s">
        <v>1158</v>
      </c>
    </row>
    <row r="823" spans="1:5" ht="15" customHeight="1" x14ac:dyDescent="0.2">
      <c r="A823" s="27">
        <v>863285</v>
      </c>
      <c r="B823">
        <v>863285</v>
      </c>
      <c r="C823" t="s">
        <v>1133</v>
      </c>
      <c r="D823" t="s">
        <v>1158</v>
      </c>
      <c r="E823" t="s">
        <v>1158</v>
      </c>
    </row>
    <row r="824" spans="1:5" ht="15" customHeight="1" x14ac:dyDescent="0.2">
      <c r="A824" s="27">
        <v>864617</v>
      </c>
      <c r="B824">
        <v>864617</v>
      </c>
      <c r="C824" t="s">
        <v>1134</v>
      </c>
      <c r="D824" t="s">
        <v>1158</v>
      </c>
      <c r="E824" t="s">
        <v>1158</v>
      </c>
    </row>
    <row r="825" spans="1:5" ht="15" customHeight="1" x14ac:dyDescent="0.2">
      <c r="A825" s="27">
        <v>864816</v>
      </c>
      <c r="B825">
        <v>864816</v>
      </c>
      <c r="C825" t="s">
        <v>1135</v>
      </c>
      <c r="D825" t="s">
        <v>1158</v>
      </c>
      <c r="E825" t="s">
        <v>1158</v>
      </c>
    </row>
    <row r="826" spans="1:5" ht="15" customHeight="1" x14ac:dyDescent="0.2">
      <c r="A826" s="27" t="s">
        <v>1136</v>
      </c>
      <c r="B826" t="s">
        <v>1136</v>
      </c>
      <c r="C826" t="s">
        <v>1137</v>
      </c>
      <c r="D826" t="s">
        <v>1158</v>
      </c>
      <c r="E826" t="s">
        <v>1158</v>
      </c>
    </row>
    <row r="827" spans="1:5" ht="15" customHeight="1" x14ac:dyDescent="0.2">
      <c r="A827" s="27" t="s">
        <v>1138</v>
      </c>
      <c r="B827" t="s">
        <v>1138</v>
      </c>
      <c r="C827" t="s">
        <v>1139</v>
      </c>
      <c r="D827" t="s">
        <v>1158</v>
      </c>
      <c r="E827" t="s">
        <v>1158</v>
      </c>
    </row>
    <row r="828" spans="1:5" ht="15" customHeight="1" x14ac:dyDescent="0.2">
      <c r="A828" s="27" t="s">
        <v>1140</v>
      </c>
      <c r="B828" t="s">
        <v>1140</v>
      </c>
      <c r="C828" t="s">
        <v>1141</v>
      </c>
      <c r="D828" t="s">
        <v>1158</v>
      </c>
      <c r="E828" t="s">
        <v>1158</v>
      </c>
    </row>
    <row r="829" spans="1:5" ht="15" customHeight="1" x14ac:dyDescent="0.2">
      <c r="A829" s="27" t="s">
        <v>1142</v>
      </c>
      <c r="B829" t="s">
        <v>1142</v>
      </c>
      <c r="C829" t="s">
        <v>1143</v>
      </c>
      <c r="D829" t="s">
        <v>1158</v>
      </c>
      <c r="E829" t="s">
        <v>1158</v>
      </c>
    </row>
    <row r="830" spans="1:5" ht="15" customHeight="1" x14ac:dyDescent="0.2">
      <c r="A830" s="27" t="s">
        <v>1183</v>
      </c>
      <c r="B830" t="s">
        <v>1183</v>
      </c>
      <c r="C830" t="s">
        <v>1184</v>
      </c>
      <c r="D830" t="s">
        <v>1158</v>
      </c>
      <c r="E830" t="s">
        <v>1158</v>
      </c>
    </row>
    <row r="831" spans="1:5" ht="15" customHeight="1" x14ac:dyDescent="0.2">
      <c r="A831" s="27" t="s">
        <v>1185</v>
      </c>
      <c r="B831" t="s">
        <v>1185</v>
      </c>
      <c r="C831" t="s">
        <v>1186</v>
      </c>
      <c r="D831" t="s">
        <v>1158</v>
      </c>
      <c r="E831" t="s">
        <v>1158</v>
      </c>
    </row>
    <row r="832" spans="1:5" ht="15" customHeight="1" x14ac:dyDescent="0.2">
      <c r="A832" s="27" t="s">
        <v>1187</v>
      </c>
      <c r="B832" t="s">
        <v>1187</v>
      </c>
      <c r="C832" t="s">
        <v>1188</v>
      </c>
      <c r="D832" t="s">
        <v>1158</v>
      </c>
      <c r="E832" t="s">
        <v>1158</v>
      </c>
    </row>
    <row r="833" spans="1:8" ht="15" customHeight="1" x14ac:dyDescent="0.2">
      <c r="A833" s="27" t="s">
        <v>1189</v>
      </c>
      <c r="B833" t="s">
        <v>1189</v>
      </c>
      <c r="C833" t="s">
        <v>1190</v>
      </c>
      <c r="D833" t="s">
        <v>1158</v>
      </c>
      <c r="E833" t="s">
        <v>1158</v>
      </c>
    </row>
    <row r="834" spans="1:8" ht="15" customHeight="1" x14ac:dyDescent="0.2">
      <c r="A834" s="27" t="s">
        <v>1191</v>
      </c>
      <c r="B834" t="s">
        <v>1191</v>
      </c>
      <c r="C834" t="s">
        <v>1192</v>
      </c>
      <c r="D834" t="s">
        <v>1158</v>
      </c>
      <c r="E834" t="s">
        <v>1158</v>
      </c>
    </row>
    <row r="835" spans="1:8" ht="15" customHeight="1" x14ac:dyDescent="0.2">
      <c r="A835" s="27" t="s">
        <v>1193</v>
      </c>
      <c r="B835" t="s">
        <v>1193</v>
      </c>
      <c r="C835" t="s">
        <v>1194</v>
      </c>
      <c r="D835" t="s">
        <v>1158</v>
      </c>
      <c r="E835" t="s">
        <v>1158</v>
      </c>
    </row>
    <row r="836" spans="1:8" ht="15" customHeight="1" x14ac:dyDescent="0.2">
      <c r="A836" s="27" t="s">
        <v>1177</v>
      </c>
      <c r="B836" t="s">
        <v>1177</v>
      </c>
      <c r="C836" t="s">
        <v>1178</v>
      </c>
      <c r="D836" t="s">
        <v>1158</v>
      </c>
      <c r="E836" t="s">
        <v>1158</v>
      </c>
    </row>
    <row r="837" spans="1:8" ht="15" customHeight="1" x14ac:dyDescent="0.2">
      <c r="A837" s="27" t="s">
        <v>1179</v>
      </c>
      <c r="B837" t="s">
        <v>1179</v>
      </c>
      <c r="C837" t="s">
        <v>1180</v>
      </c>
      <c r="D837" t="s">
        <v>1158</v>
      </c>
      <c r="E837" t="s">
        <v>1158</v>
      </c>
    </row>
    <row r="838" spans="1:8" ht="15" customHeight="1" x14ac:dyDescent="0.2">
      <c r="A838" s="27" t="s">
        <v>1181</v>
      </c>
      <c r="B838" t="s">
        <v>1181</v>
      </c>
      <c r="C838" t="s">
        <v>1182</v>
      </c>
      <c r="D838" t="s">
        <v>1158</v>
      </c>
      <c r="E838" t="s">
        <v>1158</v>
      </c>
    </row>
    <row r="839" spans="1:8" ht="15" customHeight="1" x14ac:dyDescent="0.2">
      <c r="A839" s="27" t="s">
        <v>1159</v>
      </c>
      <c r="B839" t="s">
        <v>1159</v>
      </c>
      <c r="C839" t="s">
        <v>1160</v>
      </c>
      <c r="D839" t="s">
        <v>1158</v>
      </c>
      <c r="E839" t="s">
        <v>1158</v>
      </c>
    </row>
    <row r="840" spans="1:8" ht="15" customHeight="1" x14ac:dyDescent="0.2">
      <c r="A840" s="27" t="s">
        <v>1161</v>
      </c>
      <c r="B840" t="s">
        <v>1161</v>
      </c>
      <c r="C840" t="s">
        <v>1162</v>
      </c>
      <c r="D840" t="s">
        <v>1158</v>
      </c>
      <c r="E840" t="s">
        <v>1158</v>
      </c>
    </row>
    <row r="841" spans="1:8" ht="15" customHeight="1" x14ac:dyDescent="0.2">
      <c r="A841" s="27" t="s">
        <v>1163</v>
      </c>
      <c r="B841" t="s">
        <v>1163</v>
      </c>
      <c r="C841" t="s">
        <v>1164</v>
      </c>
      <c r="D841" t="s">
        <v>1158</v>
      </c>
      <c r="E841" t="s">
        <v>1158</v>
      </c>
    </row>
    <row r="842" spans="1:8" ht="15" customHeight="1" x14ac:dyDescent="0.2">
      <c r="A842" s="27" t="s">
        <v>1165</v>
      </c>
      <c r="B842" t="s">
        <v>1165</v>
      </c>
      <c r="C842" t="s">
        <v>1166</v>
      </c>
      <c r="D842" t="s">
        <v>1158</v>
      </c>
      <c r="E842" t="s">
        <v>1158</v>
      </c>
    </row>
    <row r="843" spans="1:8" ht="15" customHeight="1" x14ac:dyDescent="0.2">
      <c r="A843" s="27" t="s">
        <v>1167</v>
      </c>
      <c r="B843" t="s">
        <v>1167</v>
      </c>
      <c r="C843" t="s">
        <v>1168</v>
      </c>
      <c r="D843" t="s">
        <v>1158</v>
      </c>
      <c r="E843" t="s">
        <v>1158</v>
      </c>
    </row>
    <row r="844" spans="1:8" ht="15" customHeight="1" x14ac:dyDescent="0.2">
      <c r="A844" s="27" t="s">
        <v>1169</v>
      </c>
      <c r="B844" t="s">
        <v>1169</v>
      </c>
      <c r="C844" t="s">
        <v>1170</v>
      </c>
      <c r="D844" t="s">
        <v>1158</v>
      </c>
      <c r="E844" t="s">
        <v>1158</v>
      </c>
    </row>
    <row r="845" spans="1:8" ht="15" customHeight="1" x14ac:dyDescent="0.2">
      <c r="A845" s="27" t="s">
        <v>1171</v>
      </c>
      <c r="B845" t="s">
        <v>1171</v>
      </c>
      <c r="C845" t="s">
        <v>1172</v>
      </c>
      <c r="D845" t="s">
        <v>1158</v>
      </c>
      <c r="E845" t="s">
        <v>1158</v>
      </c>
    </row>
    <row r="846" spans="1:8" ht="15" customHeight="1" x14ac:dyDescent="0.2">
      <c r="A846" s="27" t="s">
        <v>1173</v>
      </c>
      <c r="B846" t="s">
        <v>1173</v>
      </c>
      <c r="C846" t="s">
        <v>1174</v>
      </c>
      <c r="D846" t="s">
        <v>1158</v>
      </c>
      <c r="E846" t="s">
        <v>1158</v>
      </c>
    </row>
    <row r="847" spans="1:8" ht="15" customHeight="1" x14ac:dyDescent="0.2">
      <c r="A847" s="27" t="s">
        <v>1175</v>
      </c>
      <c r="B847" t="s">
        <v>1175</v>
      </c>
      <c r="C847" t="s">
        <v>1176</v>
      </c>
      <c r="D847" t="s">
        <v>1158</v>
      </c>
      <c r="E847" t="s">
        <v>1158</v>
      </c>
    </row>
    <row r="848" spans="1:8" ht="15" customHeight="1" x14ac:dyDescent="0.2">
      <c r="A848" s="27">
        <v>6002</v>
      </c>
      <c r="B848">
        <v>6002</v>
      </c>
      <c r="C848" t="s">
        <v>1195</v>
      </c>
      <c r="D848" t="s">
        <v>3489</v>
      </c>
      <c r="E848" t="s">
        <v>3490</v>
      </c>
      <c r="G848" s="70"/>
      <c r="H848" s="70"/>
    </row>
    <row r="849" spans="1:8" ht="15" customHeight="1" x14ac:dyDescent="0.2">
      <c r="A849" s="27">
        <v>6008</v>
      </c>
      <c r="B849">
        <v>6008</v>
      </c>
      <c r="C849" t="s">
        <v>1196</v>
      </c>
      <c r="D849" t="s">
        <v>3489</v>
      </c>
      <c r="E849" t="s">
        <v>3490</v>
      </c>
      <c r="G849" s="70"/>
      <c r="H849" s="70"/>
    </row>
    <row r="850" spans="1:8" ht="15" customHeight="1" x14ac:dyDescent="0.2">
      <c r="A850" s="27">
        <v>6009</v>
      </c>
      <c r="B850">
        <v>6009</v>
      </c>
      <c r="C850" t="s">
        <v>1197</v>
      </c>
      <c r="D850" t="s">
        <v>3489</v>
      </c>
      <c r="E850" t="s">
        <v>3490</v>
      </c>
      <c r="G850" s="70"/>
      <c r="H850" s="70"/>
    </row>
    <row r="851" spans="1:8" ht="15" customHeight="1" x14ac:dyDescent="0.2">
      <c r="A851" s="27">
        <v>6090</v>
      </c>
      <c r="B851">
        <v>6090</v>
      </c>
      <c r="C851" t="s">
        <v>1198</v>
      </c>
      <c r="D851" t="s">
        <v>3489</v>
      </c>
      <c r="E851" t="s">
        <v>3490</v>
      </c>
      <c r="G851" s="70"/>
      <c r="H851" s="70"/>
    </row>
    <row r="852" spans="1:8" ht="15" customHeight="1" x14ac:dyDescent="0.2">
      <c r="A852" s="27">
        <v>6105</v>
      </c>
      <c r="B852">
        <v>6105</v>
      </c>
      <c r="C852" t="s">
        <v>1199</v>
      </c>
      <c r="D852" t="s">
        <v>3489</v>
      </c>
      <c r="E852" t="s">
        <v>3490</v>
      </c>
      <c r="G852" s="70"/>
      <c r="H852" s="70"/>
    </row>
    <row r="853" spans="1:8" ht="15" customHeight="1" x14ac:dyDescent="0.2">
      <c r="A853" s="27">
        <v>6224</v>
      </c>
      <c r="B853">
        <v>6224</v>
      </c>
      <c r="C853" t="s">
        <v>1200</v>
      </c>
      <c r="D853" t="s">
        <v>3489</v>
      </c>
      <c r="E853" t="s">
        <v>3490</v>
      </c>
      <c r="G853" s="70"/>
      <c r="H853" s="70"/>
    </row>
    <row r="854" spans="1:8" ht="15" customHeight="1" x14ac:dyDescent="0.2">
      <c r="A854" s="27">
        <v>6225</v>
      </c>
      <c r="B854">
        <v>6225</v>
      </c>
      <c r="C854" t="s">
        <v>1201</v>
      </c>
      <c r="D854" t="s">
        <v>3489</v>
      </c>
      <c r="E854" t="s">
        <v>3490</v>
      </c>
      <c r="G854" s="70"/>
      <c r="H854" s="70"/>
    </row>
    <row r="855" spans="1:8" ht="15" customHeight="1" x14ac:dyDescent="0.2">
      <c r="A855" s="27">
        <v>6309</v>
      </c>
      <c r="B855">
        <v>6309</v>
      </c>
      <c r="C855" t="s">
        <v>1202</v>
      </c>
      <c r="D855" t="s">
        <v>3489</v>
      </c>
      <c r="E855" t="s">
        <v>3490</v>
      </c>
      <c r="G855" s="70"/>
      <c r="H855" s="70"/>
    </row>
    <row r="856" spans="1:8" ht="15" customHeight="1" x14ac:dyDescent="0.2">
      <c r="A856" s="27">
        <v>6338</v>
      </c>
      <c r="B856">
        <v>6338</v>
      </c>
      <c r="C856" t="s">
        <v>1203</v>
      </c>
      <c r="D856" t="s">
        <v>3489</v>
      </c>
      <c r="E856" t="s">
        <v>3490</v>
      </c>
      <c r="G856" s="70"/>
      <c r="H856" s="70"/>
    </row>
    <row r="857" spans="1:8" ht="15" customHeight="1" x14ac:dyDescent="0.2">
      <c r="A857" s="27">
        <v>6341</v>
      </c>
      <c r="B857">
        <v>6341</v>
      </c>
      <c r="C857" t="s">
        <v>1204</v>
      </c>
      <c r="D857" t="s">
        <v>3489</v>
      </c>
      <c r="E857" t="s">
        <v>3490</v>
      </c>
      <c r="G857" s="70"/>
      <c r="H857" s="70"/>
    </row>
    <row r="858" spans="1:8" ht="15" customHeight="1" x14ac:dyDescent="0.2">
      <c r="A858" s="27">
        <v>6342</v>
      </c>
      <c r="B858">
        <v>6342</v>
      </c>
      <c r="C858" t="s">
        <v>1205</v>
      </c>
      <c r="D858" t="s">
        <v>3489</v>
      </c>
      <c r="E858" t="s">
        <v>3490</v>
      </c>
      <c r="G858" s="70"/>
      <c r="H858" s="70"/>
    </row>
    <row r="859" spans="1:8" ht="15" customHeight="1" x14ac:dyDescent="0.2">
      <c r="A859" s="27">
        <v>6352</v>
      </c>
      <c r="B859">
        <v>6352</v>
      </c>
      <c r="C859" t="s">
        <v>1206</v>
      </c>
      <c r="D859" t="s">
        <v>3489</v>
      </c>
      <c r="E859" t="s">
        <v>3490</v>
      </c>
      <c r="G859" s="70"/>
      <c r="H859" s="70"/>
    </row>
    <row r="860" spans="1:8" ht="15" customHeight="1" x14ac:dyDescent="0.2">
      <c r="A860" s="27">
        <v>6355</v>
      </c>
      <c r="B860">
        <v>6355</v>
      </c>
      <c r="C860" t="s">
        <v>1207</v>
      </c>
      <c r="D860" t="s">
        <v>3489</v>
      </c>
      <c r="E860" t="s">
        <v>3490</v>
      </c>
      <c r="G860" s="70"/>
      <c r="H860" s="70"/>
    </row>
    <row r="861" spans="1:8" ht="15" customHeight="1" x14ac:dyDescent="0.2">
      <c r="A861" s="27">
        <v>6363</v>
      </c>
      <c r="B861">
        <v>6363</v>
      </c>
      <c r="C861" t="s">
        <v>1208</v>
      </c>
      <c r="D861" t="s">
        <v>3489</v>
      </c>
      <c r="E861" t="s">
        <v>3490</v>
      </c>
      <c r="G861" s="70"/>
      <c r="H861" s="70"/>
    </row>
    <row r="862" spans="1:8" ht="15" customHeight="1" x14ac:dyDescent="0.2">
      <c r="A862" s="27">
        <v>6368</v>
      </c>
      <c r="B862">
        <v>6368</v>
      </c>
      <c r="C862" t="s">
        <v>1209</v>
      </c>
      <c r="D862" t="s">
        <v>3489</v>
      </c>
      <c r="E862" t="s">
        <v>3490</v>
      </c>
      <c r="G862" s="70"/>
      <c r="H862" s="70"/>
    </row>
    <row r="863" spans="1:8" ht="15" customHeight="1" x14ac:dyDescent="0.2">
      <c r="A863" s="27">
        <v>6454</v>
      </c>
      <c r="B863">
        <v>6454</v>
      </c>
      <c r="C863" t="s">
        <v>1210</v>
      </c>
      <c r="D863" t="s">
        <v>3489</v>
      </c>
      <c r="E863" t="s">
        <v>3490</v>
      </c>
      <c r="G863" s="70"/>
      <c r="H863" s="70"/>
    </row>
    <row r="864" spans="1:8" ht="15" customHeight="1" x14ac:dyDescent="0.2">
      <c r="A864" s="27">
        <v>6455</v>
      </c>
      <c r="B864">
        <v>6455</v>
      </c>
      <c r="C864" t="s">
        <v>1211</v>
      </c>
      <c r="D864" t="s">
        <v>3489</v>
      </c>
      <c r="E864" t="s">
        <v>3490</v>
      </c>
      <c r="G864" s="70"/>
      <c r="H864" s="70"/>
    </row>
    <row r="865" spans="1:8" ht="15" customHeight="1" x14ac:dyDescent="0.2">
      <c r="A865" s="27">
        <v>6697</v>
      </c>
      <c r="B865">
        <v>6697</v>
      </c>
      <c r="C865" t="s">
        <v>1212</v>
      </c>
      <c r="D865" t="s">
        <v>3489</v>
      </c>
      <c r="E865" t="s">
        <v>3490</v>
      </c>
      <c r="G865" s="70"/>
      <c r="H865" s="70"/>
    </row>
    <row r="866" spans="1:8" ht="15" customHeight="1" x14ac:dyDescent="0.2">
      <c r="A866" s="27">
        <v>6698</v>
      </c>
      <c r="B866">
        <v>6698</v>
      </c>
      <c r="C866" t="s">
        <v>1213</v>
      </c>
      <c r="D866" t="s">
        <v>3489</v>
      </c>
      <c r="E866" t="s">
        <v>3490</v>
      </c>
      <c r="G866" s="70"/>
      <c r="H866" s="70"/>
    </row>
    <row r="867" spans="1:8" ht="15" customHeight="1" x14ac:dyDescent="0.2">
      <c r="A867" s="27">
        <v>6699</v>
      </c>
      <c r="B867">
        <v>6699</v>
      </c>
      <c r="C867" t="s">
        <v>1214</v>
      </c>
      <c r="D867" t="s">
        <v>3489</v>
      </c>
      <c r="E867" t="s">
        <v>3490</v>
      </c>
      <c r="G867" s="70"/>
      <c r="H867" s="70"/>
    </row>
    <row r="868" spans="1:8" ht="15" customHeight="1" x14ac:dyDescent="0.2">
      <c r="A868" s="27" t="s">
        <v>1215</v>
      </c>
      <c r="B868" t="s">
        <v>1215</v>
      </c>
      <c r="C868" t="s">
        <v>1216</v>
      </c>
      <c r="D868" t="s">
        <v>3489</v>
      </c>
      <c r="E868" t="s">
        <v>3490</v>
      </c>
      <c r="G868" s="70"/>
      <c r="H868" s="70"/>
    </row>
    <row r="869" spans="1:8" ht="15" customHeight="1" x14ac:dyDescent="0.2">
      <c r="A869" s="27" t="s">
        <v>1219</v>
      </c>
      <c r="B869" t="s">
        <v>1219</v>
      </c>
      <c r="C869" t="s">
        <v>1220</v>
      </c>
      <c r="D869" t="s">
        <v>3489</v>
      </c>
      <c r="E869" t="s">
        <v>3490</v>
      </c>
      <c r="G869" s="70"/>
      <c r="H869" s="70"/>
    </row>
    <row r="870" spans="1:8" ht="15" customHeight="1" x14ac:dyDescent="0.2">
      <c r="A870" s="27" t="s">
        <v>1217</v>
      </c>
      <c r="B870" t="s">
        <v>1217</v>
      </c>
      <c r="C870" t="s">
        <v>1218</v>
      </c>
      <c r="D870" t="s">
        <v>3489</v>
      </c>
      <c r="E870" t="s">
        <v>3490</v>
      </c>
      <c r="G870" s="70"/>
      <c r="H870" s="70"/>
    </row>
    <row r="871" spans="1:8" ht="15" customHeight="1" x14ac:dyDescent="0.2">
      <c r="A871" s="27">
        <v>8327</v>
      </c>
      <c r="B871">
        <v>8327</v>
      </c>
      <c r="C871" t="s">
        <v>1828</v>
      </c>
      <c r="D871" t="s">
        <v>3489</v>
      </c>
      <c r="E871" t="s">
        <v>3490</v>
      </c>
      <c r="G871" s="70"/>
      <c r="H871" s="70"/>
    </row>
    <row r="872" spans="1:8" ht="15" customHeight="1" x14ac:dyDescent="0.2">
      <c r="A872" s="27" t="s">
        <v>1282</v>
      </c>
      <c r="B872" t="s">
        <v>1282</v>
      </c>
      <c r="C872" t="s">
        <v>1283</v>
      </c>
      <c r="D872" t="s">
        <v>1281</v>
      </c>
      <c r="E872" t="s">
        <v>3527</v>
      </c>
    </row>
    <row r="873" spans="1:8" ht="15" customHeight="1" x14ac:dyDescent="0.2">
      <c r="A873" s="27" t="s">
        <v>1284</v>
      </c>
      <c r="B873" t="s">
        <v>1284</v>
      </c>
      <c r="C873" t="s">
        <v>1285</v>
      </c>
      <c r="D873" t="s">
        <v>1281</v>
      </c>
      <c r="E873" t="s">
        <v>3527</v>
      </c>
    </row>
    <row r="874" spans="1:8" ht="15" customHeight="1" x14ac:dyDescent="0.2">
      <c r="A874" s="27" t="s">
        <v>1303</v>
      </c>
      <c r="B874" t="s">
        <v>1303</v>
      </c>
      <c r="C874" t="s">
        <v>1304</v>
      </c>
      <c r="D874" t="s">
        <v>3475</v>
      </c>
      <c r="E874" t="s">
        <v>3098</v>
      </c>
    </row>
    <row r="875" spans="1:8" ht="15" customHeight="1" x14ac:dyDescent="0.2">
      <c r="A875" s="27" t="s">
        <v>1305</v>
      </c>
      <c r="B875" t="s">
        <v>1305</v>
      </c>
      <c r="C875" t="s">
        <v>1306</v>
      </c>
      <c r="D875" t="s">
        <v>3475</v>
      </c>
      <c r="E875" t="s">
        <v>3098</v>
      </c>
    </row>
    <row r="876" spans="1:8" ht="15" customHeight="1" x14ac:dyDescent="0.2">
      <c r="A876" s="27" t="s">
        <v>1313</v>
      </c>
      <c r="B876" t="s">
        <v>1864</v>
      </c>
      <c r="C876" t="s">
        <v>1314</v>
      </c>
      <c r="D876" t="s">
        <v>3475</v>
      </c>
      <c r="E876" t="s">
        <v>3098</v>
      </c>
    </row>
    <row r="877" spans="1:8" ht="15" customHeight="1" x14ac:dyDescent="0.2">
      <c r="A877" s="27" t="s">
        <v>1311</v>
      </c>
      <c r="B877" t="s">
        <v>1311</v>
      </c>
      <c r="C877" t="s">
        <v>1312</v>
      </c>
      <c r="D877" t="s">
        <v>3475</v>
      </c>
      <c r="E877" t="s">
        <v>3098</v>
      </c>
    </row>
    <row r="878" spans="1:8" ht="15" customHeight="1" x14ac:dyDescent="0.2">
      <c r="A878" s="27" t="s">
        <v>3234</v>
      </c>
      <c r="B878" t="s">
        <v>3234</v>
      </c>
      <c r="C878" t="s">
        <v>3235</v>
      </c>
      <c r="D878" t="s">
        <v>3475</v>
      </c>
      <c r="E878" t="s">
        <v>3098</v>
      </c>
    </row>
    <row r="879" spans="1:8" ht="15" customHeight="1" x14ac:dyDescent="0.2">
      <c r="A879" s="27" t="s">
        <v>3232</v>
      </c>
      <c r="B879" t="s">
        <v>3232</v>
      </c>
      <c r="C879" t="s">
        <v>3233</v>
      </c>
      <c r="D879" t="s">
        <v>3475</v>
      </c>
      <c r="E879" t="s">
        <v>3098</v>
      </c>
    </row>
    <row r="880" spans="1:8" ht="15" customHeight="1" x14ac:dyDescent="0.2">
      <c r="A880" s="27" t="s">
        <v>3236</v>
      </c>
      <c r="B880" t="s">
        <v>3236</v>
      </c>
      <c r="C880" t="s">
        <v>3237</v>
      </c>
      <c r="D880" t="s">
        <v>3475</v>
      </c>
      <c r="E880" t="s">
        <v>3098</v>
      </c>
    </row>
    <row r="881" spans="1:5" ht="15" customHeight="1" x14ac:dyDescent="0.2">
      <c r="A881" s="27" t="s">
        <v>3238</v>
      </c>
      <c r="B881" t="s">
        <v>3238</v>
      </c>
      <c r="C881" t="s">
        <v>3239</v>
      </c>
      <c r="D881" t="s">
        <v>3475</v>
      </c>
      <c r="E881" t="s">
        <v>3098</v>
      </c>
    </row>
    <row r="882" spans="1:5" ht="15" customHeight="1" x14ac:dyDescent="0.2">
      <c r="A882" s="27" t="s">
        <v>3240</v>
      </c>
      <c r="B882" t="s">
        <v>3240</v>
      </c>
      <c r="C882" t="s">
        <v>3241</v>
      </c>
      <c r="D882" t="s">
        <v>3475</v>
      </c>
      <c r="E882" t="s">
        <v>3098</v>
      </c>
    </row>
    <row r="883" spans="1:5" ht="15" customHeight="1" x14ac:dyDescent="0.2">
      <c r="A883" s="27" t="s">
        <v>3242</v>
      </c>
      <c r="B883" t="s">
        <v>3242</v>
      </c>
      <c r="C883" t="s">
        <v>3243</v>
      </c>
      <c r="D883" t="s">
        <v>3475</v>
      </c>
      <c r="E883" t="s">
        <v>3098</v>
      </c>
    </row>
    <row r="884" spans="1:5" ht="15" customHeight="1" x14ac:dyDescent="0.2">
      <c r="A884" s="27" t="s">
        <v>3244</v>
      </c>
      <c r="B884" t="s">
        <v>3244</v>
      </c>
      <c r="C884" t="s">
        <v>3245</v>
      </c>
      <c r="D884" t="s">
        <v>3475</v>
      </c>
      <c r="E884" t="s">
        <v>3098</v>
      </c>
    </row>
    <row r="885" spans="1:5" ht="15" customHeight="1" x14ac:dyDescent="0.2">
      <c r="A885" s="27" t="s">
        <v>3246</v>
      </c>
      <c r="B885" t="s">
        <v>3246</v>
      </c>
      <c r="C885" t="s">
        <v>3247</v>
      </c>
      <c r="D885" t="s">
        <v>3475</v>
      </c>
      <c r="E885" t="s">
        <v>3098</v>
      </c>
    </row>
    <row r="886" spans="1:5" ht="15" customHeight="1" x14ac:dyDescent="0.2">
      <c r="A886" s="27" t="s">
        <v>3248</v>
      </c>
      <c r="B886" t="s">
        <v>3248</v>
      </c>
      <c r="C886" t="s">
        <v>3249</v>
      </c>
      <c r="D886" t="s">
        <v>3475</v>
      </c>
      <c r="E886" t="s">
        <v>3098</v>
      </c>
    </row>
    <row r="887" spans="1:5" ht="15" customHeight="1" x14ac:dyDescent="0.2">
      <c r="A887" s="27" t="s">
        <v>3250</v>
      </c>
      <c r="B887" t="s">
        <v>3250</v>
      </c>
      <c r="C887" t="s">
        <v>3251</v>
      </c>
      <c r="D887" t="s">
        <v>3475</v>
      </c>
      <c r="E887" t="s">
        <v>3098</v>
      </c>
    </row>
    <row r="888" spans="1:5" ht="15" customHeight="1" x14ac:dyDescent="0.2">
      <c r="A888" s="27" t="s">
        <v>3252</v>
      </c>
      <c r="B888" t="s">
        <v>3252</v>
      </c>
      <c r="C888" t="s">
        <v>3253</v>
      </c>
      <c r="D888" t="s">
        <v>3475</v>
      </c>
      <c r="E888" t="s">
        <v>3098</v>
      </c>
    </row>
    <row r="889" spans="1:5" ht="15" customHeight="1" x14ac:dyDescent="0.2">
      <c r="A889" s="27" t="s">
        <v>3254</v>
      </c>
      <c r="B889" t="s">
        <v>3254</v>
      </c>
      <c r="C889" t="s">
        <v>3255</v>
      </c>
      <c r="D889" t="s">
        <v>3475</v>
      </c>
      <c r="E889" t="s">
        <v>3098</v>
      </c>
    </row>
    <row r="890" spans="1:5" ht="15" customHeight="1" x14ac:dyDescent="0.2">
      <c r="A890" s="27" t="s">
        <v>3256</v>
      </c>
      <c r="B890" t="s">
        <v>3256</v>
      </c>
      <c r="C890" t="s">
        <v>3257</v>
      </c>
      <c r="D890" t="s">
        <v>3475</v>
      </c>
      <c r="E890" t="s">
        <v>3098</v>
      </c>
    </row>
    <row r="891" spans="1:5" ht="15" customHeight="1" x14ac:dyDescent="0.2">
      <c r="A891" s="27" t="s">
        <v>3258</v>
      </c>
      <c r="B891" t="s">
        <v>3258</v>
      </c>
      <c r="C891" t="s">
        <v>3259</v>
      </c>
      <c r="D891" t="s">
        <v>3475</v>
      </c>
      <c r="E891" t="s">
        <v>3098</v>
      </c>
    </row>
    <row r="892" spans="1:5" ht="15" customHeight="1" x14ac:dyDescent="0.2">
      <c r="A892" s="27" t="s">
        <v>3260</v>
      </c>
      <c r="B892" t="s">
        <v>3260</v>
      </c>
      <c r="C892" t="s">
        <v>3261</v>
      </c>
      <c r="D892" t="s">
        <v>3475</v>
      </c>
      <c r="E892" t="s">
        <v>3098</v>
      </c>
    </row>
    <row r="893" spans="1:5" ht="15" customHeight="1" x14ac:dyDescent="0.2">
      <c r="A893" s="27" t="s">
        <v>3262</v>
      </c>
      <c r="B893" t="s">
        <v>3262</v>
      </c>
      <c r="C893" t="s">
        <v>3263</v>
      </c>
      <c r="D893" t="s">
        <v>3475</v>
      </c>
      <c r="E893" t="s">
        <v>3098</v>
      </c>
    </row>
    <row r="894" spans="1:5" ht="15" customHeight="1" x14ac:dyDescent="0.2">
      <c r="A894" s="27" t="s">
        <v>3264</v>
      </c>
      <c r="B894" t="s">
        <v>3264</v>
      </c>
      <c r="C894" t="s">
        <v>3265</v>
      </c>
      <c r="D894" t="s">
        <v>3475</v>
      </c>
      <c r="E894" t="s">
        <v>3098</v>
      </c>
    </row>
    <row r="895" spans="1:5" ht="15" customHeight="1" x14ac:dyDescent="0.2">
      <c r="A895" s="27" t="s">
        <v>3266</v>
      </c>
      <c r="B895" t="s">
        <v>3266</v>
      </c>
      <c r="C895" t="s">
        <v>3267</v>
      </c>
      <c r="D895" t="s">
        <v>3475</v>
      </c>
      <c r="E895" t="s">
        <v>3098</v>
      </c>
    </row>
    <row r="896" spans="1:5" ht="15" customHeight="1" x14ac:dyDescent="0.2">
      <c r="A896" s="27" t="s">
        <v>3268</v>
      </c>
      <c r="B896" t="s">
        <v>3268</v>
      </c>
      <c r="C896" t="s">
        <v>3269</v>
      </c>
      <c r="D896" t="s">
        <v>3475</v>
      </c>
      <c r="E896" t="s">
        <v>3098</v>
      </c>
    </row>
    <row r="897" spans="1:5" ht="15" customHeight="1" x14ac:dyDescent="0.2">
      <c r="A897" s="27" t="s">
        <v>3270</v>
      </c>
      <c r="B897" t="s">
        <v>3270</v>
      </c>
      <c r="C897" t="s">
        <v>3271</v>
      </c>
      <c r="D897" t="s">
        <v>3475</v>
      </c>
      <c r="E897" t="s">
        <v>3098</v>
      </c>
    </row>
    <row r="898" spans="1:5" ht="15" customHeight="1" x14ac:dyDescent="0.2">
      <c r="A898" s="27" t="s">
        <v>3272</v>
      </c>
      <c r="B898" t="s">
        <v>3272</v>
      </c>
      <c r="C898" t="s">
        <v>3273</v>
      </c>
      <c r="D898" t="s">
        <v>3475</v>
      </c>
      <c r="E898" t="s">
        <v>3098</v>
      </c>
    </row>
    <row r="899" spans="1:5" ht="15" customHeight="1" x14ac:dyDescent="0.2">
      <c r="A899" s="27" t="s">
        <v>3274</v>
      </c>
      <c r="B899" t="s">
        <v>3274</v>
      </c>
      <c r="C899" t="s">
        <v>3275</v>
      </c>
      <c r="D899" t="s">
        <v>3475</v>
      </c>
      <c r="E899" t="s">
        <v>3098</v>
      </c>
    </row>
    <row r="900" spans="1:5" ht="15" customHeight="1" x14ac:dyDescent="0.2">
      <c r="A900" s="27" t="s">
        <v>3276</v>
      </c>
      <c r="B900" t="s">
        <v>3276</v>
      </c>
      <c r="C900" t="s">
        <v>3277</v>
      </c>
      <c r="D900" t="s">
        <v>3475</v>
      </c>
      <c r="E900" t="s">
        <v>3098</v>
      </c>
    </row>
    <row r="901" spans="1:5" ht="15" customHeight="1" x14ac:dyDescent="0.2">
      <c r="A901" s="27" t="s">
        <v>3278</v>
      </c>
      <c r="B901" t="s">
        <v>3278</v>
      </c>
      <c r="C901" t="s">
        <v>3279</v>
      </c>
      <c r="D901" t="s">
        <v>3475</v>
      </c>
      <c r="E901" t="s">
        <v>3098</v>
      </c>
    </row>
    <row r="902" spans="1:5" ht="15" customHeight="1" x14ac:dyDescent="0.2">
      <c r="A902" s="27" t="s">
        <v>3280</v>
      </c>
      <c r="B902" t="s">
        <v>3280</v>
      </c>
      <c r="C902" t="s">
        <v>3281</v>
      </c>
      <c r="D902" t="s">
        <v>3475</v>
      </c>
      <c r="E902" t="s">
        <v>3098</v>
      </c>
    </row>
    <row r="903" spans="1:5" ht="15" customHeight="1" x14ac:dyDescent="0.2">
      <c r="A903" s="27" t="s">
        <v>3282</v>
      </c>
      <c r="B903" t="s">
        <v>3282</v>
      </c>
      <c r="C903" t="s">
        <v>3283</v>
      </c>
      <c r="D903" t="s">
        <v>3475</v>
      </c>
      <c r="E903" t="s">
        <v>3098</v>
      </c>
    </row>
    <row r="904" spans="1:5" ht="15" customHeight="1" x14ac:dyDescent="0.2">
      <c r="A904" s="27" t="s">
        <v>3284</v>
      </c>
      <c r="B904" t="s">
        <v>3284</v>
      </c>
      <c r="C904" t="s">
        <v>3285</v>
      </c>
      <c r="D904" t="s">
        <v>3475</v>
      </c>
      <c r="E904" t="s">
        <v>3098</v>
      </c>
    </row>
    <row r="905" spans="1:5" ht="15" customHeight="1" x14ac:dyDescent="0.2">
      <c r="A905" s="27" t="s">
        <v>3286</v>
      </c>
      <c r="B905" t="s">
        <v>3286</v>
      </c>
      <c r="C905" t="s">
        <v>3287</v>
      </c>
      <c r="D905" t="s">
        <v>3475</v>
      </c>
      <c r="E905" t="s">
        <v>3098</v>
      </c>
    </row>
    <row r="906" spans="1:5" ht="15" customHeight="1" x14ac:dyDescent="0.2">
      <c r="A906" s="27" t="s">
        <v>3288</v>
      </c>
      <c r="B906" t="s">
        <v>3288</v>
      </c>
      <c r="C906" t="s">
        <v>3289</v>
      </c>
      <c r="D906" t="s">
        <v>3475</v>
      </c>
      <c r="E906" t="s">
        <v>3098</v>
      </c>
    </row>
    <row r="907" spans="1:5" ht="15" customHeight="1" x14ac:dyDescent="0.2">
      <c r="A907" s="27" t="s">
        <v>3290</v>
      </c>
      <c r="B907" t="s">
        <v>3290</v>
      </c>
      <c r="C907" t="s">
        <v>3291</v>
      </c>
      <c r="D907" t="s">
        <v>3475</v>
      </c>
      <c r="E907" t="s">
        <v>3098</v>
      </c>
    </row>
    <row r="908" spans="1:5" ht="15" customHeight="1" x14ac:dyDescent="0.2">
      <c r="A908" s="27" t="s">
        <v>3292</v>
      </c>
      <c r="B908" t="s">
        <v>3292</v>
      </c>
      <c r="C908" t="s">
        <v>3293</v>
      </c>
      <c r="D908" t="s">
        <v>3475</v>
      </c>
      <c r="E908" t="s">
        <v>3098</v>
      </c>
    </row>
    <row r="909" spans="1:5" ht="15" customHeight="1" x14ac:dyDescent="0.2">
      <c r="A909" s="27" t="s">
        <v>3294</v>
      </c>
      <c r="B909" t="s">
        <v>3294</v>
      </c>
      <c r="C909" t="s">
        <v>3295</v>
      </c>
      <c r="D909" t="s">
        <v>3475</v>
      </c>
      <c r="E909" t="s">
        <v>3098</v>
      </c>
    </row>
    <row r="910" spans="1:5" ht="15" customHeight="1" x14ac:dyDescent="0.2">
      <c r="A910" s="27" t="s">
        <v>3296</v>
      </c>
      <c r="B910" t="s">
        <v>3296</v>
      </c>
      <c r="C910" t="s">
        <v>3297</v>
      </c>
      <c r="D910" t="s">
        <v>3475</v>
      </c>
      <c r="E910" t="s">
        <v>3098</v>
      </c>
    </row>
    <row r="911" spans="1:5" ht="15" customHeight="1" x14ac:dyDescent="0.2">
      <c r="A911" s="27" t="s">
        <v>3298</v>
      </c>
      <c r="B911" t="s">
        <v>3298</v>
      </c>
      <c r="C911" t="s">
        <v>3299</v>
      </c>
      <c r="D911" t="s">
        <v>3475</v>
      </c>
      <c r="E911" t="s">
        <v>3098</v>
      </c>
    </row>
    <row r="912" spans="1:5" ht="15" customHeight="1" x14ac:dyDescent="0.2">
      <c r="A912" s="27" t="s">
        <v>3300</v>
      </c>
      <c r="B912" t="s">
        <v>3300</v>
      </c>
      <c r="C912" t="s">
        <v>3301</v>
      </c>
      <c r="D912" t="s">
        <v>3475</v>
      </c>
      <c r="E912" t="s">
        <v>3098</v>
      </c>
    </row>
    <row r="913" spans="1:5" ht="15" customHeight="1" x14ac:dyDescent="0.2">
      <c r="A913" s="27" t="s">
        <v>3302</v>
      </c>
      <c r="B913" t="s">
        <v>3302</v>
      </c>
      <c r="C913" t="s">
        <v>3303</v>
      </c>
      <c r="D913" t="s">
        <v>3475</v>
      </c>
      <c r="E913" t="s">
        <v>3098</v>
      </c>
    </row>
    <row r="914" spans="1:5" ht="15" customHeight="1" x14ac:dyDescent="0.2">
      <c r="A914" s="27" t="s">
        <v>3304</v>
      </c>
      <c r="B914" t="s">
        <v>3304</v>
      </c>
      <c r="C914" t="s">
        <v>3305</v>
      </c>
      <c r="D914" t="s">
        <v>3475</v>
      </c>
      <c r="E914" t="s">
        <v>3098</v>
      </c>
    </row>
    <row r="915" spans="1:5" ht="15" customHeight="1" x14ac:dyDescent="0.2">
      <c r="A915" s="27" t="s">
        <v>3306</v>
      </c>
      <c r="B915" t="s">
        <v>3306</v>
      </c>
      <c r="C915" t="s">
        <v>3307</v>
      </c>
      <c r="D915" t="s">
        <v>3475</v>
      </c>
      <c r="E915" t="s">
        <v>3098</v>
      </c>
    </row>
    <row r="916" spans="1:5" ht="15" customHeight="1" x14ac:dyDescent="0.2">
      <c r="A916" s="27" t="s">
        <v>3308</v>
      </c>
      <c r="B916" t="s">
        <v>3308</v>
      </c>
      <c r="C916" t="s">
        <v>3309</v>
      </c>
      <c r="D916" t="s">
        <v>3475</v>
      </c>
      <c r="E916" t="s">
        <v>3098</v>
      </c>
    </row>
    <row r="917" spans="1:5" ht="15" customHeight="1" x14ac:dyDescent="0.2">
      <c r="A917" s="27" t="s">
        <v>3310</v>
      </c>
      <c r="B917" t="s">
        <v>3310</v>
      </c>
      <c r="C917" t="s">
        <v>3311</v>
      </c>
      <c r="D917" t="s">
        <v>3475</v>
      </c>
      <c r="E917" t="s">
        <v>3098</v>
      </c>
    </row>
    <row r="918" spans="1:5" ht="15" customHeight="1" x14ac:dyDescent="0.2">
      <c r="A918" s="27" t="s">
        <v>3312</v>
      </c>
      <c r="B918" t="s">
        <v>3312</v>
      </c>
      <c r="C918" t="s">
        <v>3313</v>
      </c>
      <c r="D918" t="s">
        <v>3475</v>
      </c>
      <c r="E918" t="s">
        <v>3098</v>
      </c>
    </row>
    <row r="919" spans="1:5" ht="15" customHeight="1" x14ac:dyDescent="0.2">
      <c r="A919" s="27" t="s">
        <v>3314</v>
      </c>
      <c r="B919" t="s">
        <v>3314</v>
      </c>
      <c r="C919" t="s">
        <v>3315</v>
      </c>
      <c r="D919" t="s">
        <v>3475</v>
      </c>
      <c r="E919" t="s">
        <v>3098</v>
      </c>
    </row>
    <row r="920" spans="1:5" ht="15" customHeight="1" x14ac:dyDescent="0.2">
      <c r="A920" s="27" t="s">
        <v>3316</v>
      </c>
      <c r="B920" t="s">
        <v>3316</v>
      </c>
      <c r="C920" t="s">
        <v>3317</v>
      </c>
      <c r="D920" t="s">
        <v>3475</v>
      </c>
      <c r="E920" t="s">
        <v>3098</v>
      </c>
    </row>
    <row r="921" spans="1:5" ht="15" customHeight="1" x14ac:dyDescent="0.2">
      <c r="A921" s="27" t="s">
        <v>3318</v>
      </c>
      <c r="B921" t="s">
        <v>3318</v>
      </c>
      <c r="C921" t="s">
        <v>3319</v>
      </c>
      <c r="D921" t="s">
        <v>3475</v>
      </c>
      <c r="E921" t="s">
        <v>3098</v>
      </c>
    </row>
    <row r="922" spans="1:5" ht="15" customHeight="1" x14ac:dyDescent="0.2">
      <c r="A922" s="27" t="s">
        <v>3320</v>
      </c>
      <c r="B922" t="s">
        <v>3320</v>
      </c>
      <c r="C922" t="s">
        <v>3321</v>
      </c>
      <c r="D922" t="s">
        <v>3475</v>
      </c>
      <c r="E922" t="s">
        <v>3098</v>
      </c>
    </row>
    <row r="923" spans="1:5" ht="15" customHeight="1" x14ac:dyDescent="0.2">
      <c r="A923" s="27" t="s">
        <v>3322</v>
      </c>
      <c r="B923" t="s">
        <v>3322</v>
      </c>
      <c r="C923" t="s">
        <v>3323</v>
      </c>
      <c r="D923" t="s">
        <v>3475</v>
      </c>
      <c r="E923" t="s">
        <v>3098</v>
      </c>
    </row>
    <row r="924" spans="1:5" ht="15" customHeight="1" x14ac:dyDescent="0.2">
      <c r="A924" s="27" t="s">
        <v>3324</v>
      </c>
      <c r="B924" t="s">
        <v>3324</v>
      </c>
      <c r="C924" t="s">
        <v>3325</v>
      </c>
      <c r="D924" t="s">
        <v>3475</v>
      </c>
      <c r="E924" t="s">
        <v>3098</v>
      </c>
    </row>
    <row r="925" spans="1:5" ht="15" customHeight="1" x14ac:dyDescent="0.2">
      <c r="A925" s="27" t="s">
        <v>3326</v>
      </c>
      <c r="B925" t="s">
        <v>3326</v>
      </c>
      <c r="C925" t="s">
        <v>3327</v>
      </c>
      <c r="D925" t="s">
        <v>3475</v>
      </c>
      <c r="E925" t="s">
        <v>3098</v>
      </c>
    </row>
    <row r="926" spans="1:5" ht="15" customHeight="1" x14ac:dyDescent="0.2">
      <c r="A926" s="27" t="s">
        <v>1309</v>
      </c>
      <c r="B926" t="s">
        <v>1309</v>
      </c>
      <c r="C926" t="s">
        <v>1310</v>
      </c>
      <c r="D926" t="s">
        <v>3475</v>
      </c>
      <c r="E926" t="s">
        <v>3098</v>
      </c>
    </row>
    <row r="927" spans="1:5" ht="15" customHeight="1" x14ac:dyDescent="0.2">
      <c r="A927" s="27" t="s">
        <v>3328</v>
      </c>
      <c r="B927" t="s">
        <v>3328</v>
      </c>
      <c r="C927" t="s">
        <v>3329</v>
      </c>
      <c r="D927" t="s">
        <v>3475</v>
      </c>
      <c r="E927" t="s">
        <v>3098</v>
      </c>
    </row>
    <row r="928" spans="1:5" ht="15" customHeight="1" x14ac:dyDescent="0.2">
      <c r="A928" s="27" t="s">
        <v>3330</v>
      </c>
      <c r="B928" t="s">
        <v>3330</v>
      </c>
      <c r="C928" t="s">
        <v>3331</v>
      </c>
      <c r="D928" t="s">
        <v>3475</v>
      </c>
      <c r="E928" t="s">
        <v>3098</v>
      </c>
    </row>
    <row r="929" spans="1:5" ht="15" customHeight="1" x14ac:dyDescent="0.2">
      <c r="A929" s="27" t="s">
        <v>3332</v>
      </c>
      <c r="B929" t="s">
        <v>3332</v>
      </c>
      <c r="C929" t="s">
        <v>3333</v>
      </c>
      <c r="D929" t="s">
        <v>3475</v>
      </c>
      <c r="E929" t="s">
        <v>3098</v>
      </c>
    </row>
    <row r="930" spans="1:5" ht="15" customHeight="1" x14ac:dyDescent="0.2">
      <c r="A930" s="27" t="s">
        <v>3334</v>
      </c>
      <c r="B930" t="s">
        <v>3334</v>
      </c>
      <c r="C930" t="s">
        <v>3335</v>
      </c>
      <c r="D930" t="s">
        <v>3475</v>
      </c>
      <c r="E930" t="s">
        <v>3098</v>
      </c>
    </row>
    <row r="931" spans="1:5" ht="15" customHeight="1" x14ac:dyDescent="0.2">
      <c r="A931" s="27" t="s">
        <v>3336</v>
      </c>
      <c r="B931" t="s">
        <v>3336</v>
      </c>
      <c r="C931" t="s">
        <v>3337</v>
      </c>
      <c r="D931" t="s">
        <v>3475</v>
      </c>
      <c r="E931" t="s">
        <v>3098</v>
      </c>
    </row>
    <row r="932" spans="1:5" ht="15" customHeight="1" x14ac:dyDescent="0.2">
      <c r="A932" s="27" t="s">
        <v>3338</v>
      </c>
      <c r="B932" t="s">
        <v>3338</v>
      </c>
      <c r="C932" t="s">
        <v>3339</v>
      </c>
      <c r="D932" t="s">
        <v>3475</v>
      </c>
      <c r="E932" t="s">
        <v>3098</v>
      </c>
    </row>
    <row r="933" spans="1:5" ht="15" customHeight="1" x14ac:dyDescent="0.2">
      <c r="A933" s="27" t="s">
        <v>3340</v>
      </c>
      <c r="B933" t="s">
        <v>3340</v>
      </c>
      <c r="C933" t="s">
        <v>3341</v>
      </c>
      <c r="D933" t="s">
        <v>3475</v>
      </c>
      <c r="E933" t="s">
        <v>3098</v>
      </c>
    </row>
    <row r="934" spans="1:5" ht="15" customHeight="1" x14ac:dyDescent="0.2">
      <c r="A934" s="27" t="s">
        <v>3342</v>
      </c>
      <c r="B934" t="s">
        <v>3342</v>
      </c>
      <c r="C934" t="s">
        <v>3343</v>
      </c>
      <c r="D934" t="s">
        <v>3475</v>
      </c>
      <c r="E934" t="s">
        <v>3098</v>
      </c>
    </row>
    <row r="935" spans="1:5" ht="15" customHeight="1" x14ac:dyDescent="0.2">
      <c r="A935" s="27" t="s">
        <v>3344</v>
      </c>
      <c r="B935" t="s">
        <v>3344</v>
      </c>
      <c r="C935" t="s">
        <v>3345</v>
      </c>
      <c r="D935" t="s">
        <v>3475</v>
      </c>
      <c r="E935" t="s">
        <v>3098</v>
      </c>
    </row>
    <row r="936" spans="1:5" ht="15" customHeight="1" x14ac:dyDescent="0.2">
      <c r="A936" s="27" t="s">
        <v>3346</v>
      </c>
      <c r="B936" t="s">
        <v>3346</v>
      </c>
      <c r="C936" t="s">
        <v>3347</v>
      </c>
      <c r="D936" t="s">
        <v>3475</v>
      </c>
      <c r="E936" t="s">
        <v>3098</v>
      </c>
    </row>
    <row r="937" spans="1:5" ht="15" customHeight="1" x14ac:dyDescent="0.2">
      <c r="A937" s="27" t="s">
        <v>3348</v>
      </c>
      <c r="B937" t="s">
        <v>3348</v>
      </c>
      <c r="C937" t="s">
        <v>3349</v>
      </c>
      <c r="D937" t="s">
        <v>3475</v>
      </c>
      <c r="E937" t="s">
        <v>3098</v>
      </c>
    </row>
    <row r="938" spans="1:5" ht="15" customHeight="1" x14ac:dyDescent="0.2">
      <c r="A938" s="27" t="s">
        <v>3350</v>
      </c>
      <c r="B938" t="s">
        <v>3350</v>
      </c>
      <c r="C938" t="s">
        <v>3351</v>
      </c>
      <c r="D938" t="s">
        <v>3475</v>
      </c>
      <c r="E938" t="s">
        <v>3098</v>
      </c>
    </row>
    <row r="939" spans="1:5" ht="15" customHeight="1" x14ac:dyDescent="0.2">
      <c r="A939" s="27" t="s">
        <v>3352</v>
      </c>
      <c r="B939" t="s">
        <v>3352</v>
      </c>
      <c r="C939" t="s">
        <v>3353</v>
      </c>
      <c r="D939" t="s">
        <v>3475</v>
      </c>
      <c r="E939" t="s">
        <v>3098</v>
      </c>
    </row>
    <row r="940" spans="1:5" ht="15" customHeight="1" x14ac:dyDescent="0.2">
      <c r="A940" s="27" t="s">
        <v>3354</v>
      </c>
      <c r="B940" t="s">
        <v>3354</v>
      </c>
      <c r="C940" t="s">
        <v>3355</v>
      </c>
      <c r="D940" t="s">
        <v>3475</v>
      </c>
      <c r="E940" t="s">
        <v>3098</v>
      </c>
    </row>
    <row r="941" spans="1:5" ht="15" customHeight="1" x14ac:dyDescent="0.2">
      <c r="A941" s="27" t="s">
        <v>3356</v>
      </c>
      <c r="B941" t="s">
        <v>3356</v>
      </c>
      <c r="C941" t="s">
        <v>3357</v>
      </c>
      <c r="D941" t="s">
        <v>3475</v>
      </c>
      <c r="E941" t="s">
        <v>3098</v>
      </c>
    </row>
    <row r="942" spans="1:5" ht="15" customHeight="1" x14ac:dyDescent="0.2">
      <c r="A942" s="27" t="s">
        <v>3358</v>
      </c>
      <c r="B942" t="s">
        <v>3358</v>
      </c>
      <c r="C942" t="s">
        <v>3359</v>
      </c>
      <c r="D942" t="s">
        <v>3475</v>
      </c>
      <c r="E942" t="s">
        <v>3098</v>
      </c>
    </row>
    <row r="943" spans="1:5" ht="15" customHeight="1" x14ac:dyDescent="0.2">
      <c r="A943" s="27" t="s">
        <v>3360</v>
      </c>
      <c r="B943" t="s">
        <v>3360</v>
      </c>
      <c r="C943" t="s">
        <v>3361</v>
      </c>
      <c r="D943" t="s">
        <v>3475</v>
      </c>
      <c r="E943" t="s">
        <v>3098</v>
      </c>
    </row>
    <row r="944" spans="1:5" ht="15" customHeight="1" x14ac:dyDescent="0.2">
      <c r="A944" s="27" t="s">
        <v>3362</v>
      </c>
      <c r="B944" t="s">
        <v>3362</v>
      </c>
      <c r="C944" t="s">
        <v>3363</v>
      </c>
      <c r="D944" t="s">
        <v>3475</v>
      </c>
      <c r="E944" t="s">
        <v>3098</v>
      </c>
    </row>
    <row r="945" spans="1:5" ht="15" customHeight="1" x14ac:dyDescent="0.2">
      <c r="A945" s="27" t="s">
        <v>3364</v>
      </c>
      <c r="B945" t="s">
        <v>3364</v>
      </c>
      <c r="C945" t="s">
        <v>3365</v>
      </c>
      <c r="D945" t="s">
        <v>3475</v>
      </c>
      <c r="E945" t="s">
        <v>3098</v>
      </c>
    </row>
    <row r="946" spans="1:5" ht="15" customHeight="1" x14ac:dyDescent="0.2">
      <c r="A946" s="27" t="s">
        <v>3366</v>
      </c>
      <c r="B946" t="s">
        <v>3366</v>
      </c>
      <c r="C946" t="s">
        <v>3367</v>
      </c>
      <c r="D946" t="s">
        <v>3475</v>
      </c>
      <c r="E946" t="s">
        <v>3098</v>
      </c>
    </row>
    <row r="947" spans="1:5" ht="15" customHeight="1" x14ac:dyDescent="0.2">
      <c r="A947" s="27" t="s">
        <v>3368</v>
      </c>
      <c r="B947" t="s">
        <v>3368</v>
      </c>
      <c r="C947" t="s">
        <v>3369</v>
      </c>
      <c r="D947" t="s">
        <v>3475</v>
      </c>
      <c r="E947" t="s">
        <v>3098</v>
      </c>
    </row>
    <row r="948" spans="1:5" ht="15" customHeight="1" x14ac:dyDescent="0.2">
      <c r="A948" s="27" t="s">
        <v>3370</v>
      </c>
      <c r="B948" t="s">
        <v>3370</v>
      </c>
      <c r="C948" t="s">
        <v>3371</v>
      </c>
      <c r="D948" t="s">
        <v>3475</v>
      </c>
      <c r="E948" t="s">
        <v>3098</v>
      </c>
    </row>
    <row r="949" spans="1:5" ht="15" customHeight="1" x14ac:dyDescent="0.2">
      <c r="A949" s="27" t="s">
        <v>3372</v>
      </c>
      <c r="B949" t="s">
        <v>3372</v>
      </c>
      <c r="C949" t="s">
        <v>3373</v>
      </c>
      <c r="D949" t="s">
        <v>3475</v>
      </c>
      <c r="E949" t="s">
        <v>3098</v>
      </c>
    </row>
    <row r="950" spans="1:5" ht="15" customHeight="1" x14ac:dyDescent="0.2">
      <c r="A950" s="27" t="s">
        <v>3374</v>
      </c>
      <c r="B950" t="s">
        <v>3374</v>
      </c>
      <c r="C950" t="s">
        <v>3375</v>
      </c>
      <c r="D950" t="s">
        <v>3475</v>
      </c>
      <c r="E950" t="s">
        <v>3098</v>
      </c>
    </row>
    <row r="951" spans="1:5" ht="15" customHeight="1" x14ac:dyDescent="0.2">
      <c r="A951" s="27" t="s">
        <v>3376</v>
      </c>
      <c r="B951" t="s">
        <v>3376</v>
      </c>
      <c r="C951" t="s">
        <v>3377</v>
      </c>
      <c r="D951" t="s">
        <v>3475</v>
      </c>
      <c r="E951" t="s">
        <v>3098</v>
      </c>
    </row>
    <row r="952" spans="1:5" ht="15" customHeight="1" x14ac:dyDescent="0.2">
      <c r="A952" s="27" t="s">
        <v>3378</v>
      </c>
      <c r="B952" t="s">
        <v>3378</v>
      </c>
      <c r="C952" t="s">
        <v>3379</v>
      </c>
      <c r="D952" t="s">
        <v>3475</v>
      </c>
      <c r="E952" t="s">
        <v>3098</v>
      </c>
    </row>
    <row r="953" spans="1:5" ht="15" customHeight="1" x14ac:dyDescent="0.2">
      <c r="A953" s="27" t="s">
        <v>3380</v>
      </c>
      <c r="B953" t="s">
        <v>3380</v>
      </c>
      <c r="C953" t="s">
        <v>3381</v>
      </c>
      <c r="D953" t="s">
        <v>3475</v>
      </c>
      <c r="E953" t="s">
        <v>3098</v>
      </c>
    </row>
    <row r="954" spans="1:5" ht="15" customHeight="1" x14ac:dyDescent="0.2">
      <c r="A954" s="27" t="s">
        <v>3382</v>
      </c>
      <c r="B954" t="s">
        <v>3382</v>
      </c>
      <c r="C954" t="s">
        <v>3383</v>
      </c>
      <c r="D954" t="s">
        <v>3475</v>
      </c>
      <c r="E954" t="s">
        <v>3098</v>
      </c>
    </row>
    <row r="955" spans="1:5" ht="15" customHeight="1" x14ac:dyDescent="0.2">
      <c r="A955" s="27" t="s">
        <v>3384</v>
      </c>
      <c r="B955" t="s">
        <v>3384</v>
      </c>
      <c r="C955" t="s">
        <v>3385</v>
      </c>
      <c r="D955" t="s">
        <v>3475</v>
      </c>
      <c r="E955" t="s">
        <v>3098</v>
      </c>
    </row>
    <row r="956" spans="1:5" ht="15" customHeight="1" x14ac:dyDescent="0.2">
      <c r="A956" s="27" t="s">
        <v>3386</v>
      </c>
      <c r="B956" t="s">
        <v>3386</v>
      </c>
      <c r="C956" t="s">
        <v>3387</v>
      </c>
      <c r="D956" t="s">
        <v>3475</v>
      </c>
      <c r="E956" t="s">
        <v>3098</v>
      </c>
    </row>
    <row r="957" spans="1:5" ht="15" customHeight="1" x14ac:dyDescent="0.2">
      <c r="A957" s="27" t="s">
        <v>3388</v>
      </c>
      <c r="B957" t="s">
        <v>3388</v>
      </c>
      <c r="C957" t="s">
        <v>3389</v>
      </c>
      <c r="D957" t="s">
        <v>3475</v>
      </c>
      <c r="E957" t="s">
        <v>3098</v>
      </c>
    </row>
    <row r="958" spans="1:5" ht="15" customHeight="1" x14ac:dyDescent="0.2">
      <c r="A958" s="27" t="s">
        <v>3390</v>
      </c>
      <c r="B958" t="s">
        <v>3390</v>
      </c>
      <c r="C958" t="s">
        <v>3391</v>
      </c>
      <c r="D958" t="s">
        <v>3475</v>
      </c>
      <c r="E958" t="s">
        <v>3098</v>
      </c>
    </row>
    <row r="959" spans="1:5" ht="15" customHeight="1" x14ac:dyDescent="0.2">
      <c r="A959" s="27" t="s">
        <v>3392</v>
      </c>
      <c r="B959" t="s">
        <v>3392</v>
      </c>
      <c r="C959" t="s">
        <v>3393</v>
      </c>
      <c r="D959" t="s">
        <v>3475</v>
      </c>
      <c r="E959" t="s">
        <v>3098</v>
      </c>
    </row>
    <row r="960" spans="1:5" ht="15" customHeight="1" x14ac:dyDescent="0.2">
      <c r="A960" s="27" t="s">
        <v>3394</v>
      </c>
      <c r="B960" t="s">
        <v>3394</v>
      </c>
      <c r="C960" t="s">
        <v>3395</v>
      </c>
      <c r="D960" t="s">
        <v>3475</v>
      </c>
      <c r="E960" t="s">
        <v>3098</v>
      </c>
    </row>
    <row r="961" spans="1:5" ht="15" customHeight="1" x14ac:dyDescent="0.2">
      <c r="A961" s="27" t="s">
        <v>3396</v>
      </c>
      <c r="B961" t="s">
        <v>3396</v>
      </c>
      <c r="C961" t="s">
        <v>3397</v>
      </c>
      <c r="D961" t="s">
        <v>3475</v>
      </c>
      <c r="E961" t="s">
        <v>3098</v>
      </c>
    </row>
    <row r="962" spans="1:5" ht="15" customHeight="1" x14ac:dyDescent="0.2">
      <c r="A962" s="27" t="s">
        <v>3398</v>
      </c>
      <c r="B962" t="s">
        <v>3398</v>
      </c>
      <c r="C962" t="s">
        <v>3399</v>
      </c>
      <c r="D962" t="s">
        <v>3475</v>
      </c>
      <c r="E962" t="s">
        <v>3098</v>
      </c>
    </row>
    <row r="963" spans="1:5" ht="15" customHeight="1" x14ac:dyDescent="0.2">
      <c r="A963" s="27" t="s">
        <v>3132</v>
      </c>
      <c r="B963" t="s">
        <v>3132</v>
      </c>
      <c r="C963" t="s">
        <v>3133</v>
      </c>
      <c r="D963" t="s">
        <v>3475</v>
      </c>
      <c r="E963" t="s">
        <v>3098</v>
      </c>
    </row>
    <row r="964" spans="1:5" ht="15" customHeight="1" x14ac:dyDescent="0.2">
      <c r="A964" s="27" t="s">
        <v>3134</v>
      </c>
      <c r="B964" t="s">
        <v>3134</v>
      </c>
      <c r="C964" t="s">
        <v>3135</v>
      </c>
      <c r="D964" t="s">
        <v>3475</v>
      </c>
      <c r="E964" t="s">
        <v>3098</v>
      </c>
    </row>
    <row r="965" spans="1:5" ht="15" customHeight="1" x14ac:dyDescent="0.2">
      <c r="A965" s="27" t="s">
        <v>3136</v>
      </c>
      <c r="B965" t="s">
        <v>3136</v>
      </c>
      <c r="C965" t="s">
        <v>3137</v>
      </c>
      <c r="D965" t="s">
        <v>3475</v>
      </c>
      <c r="E965" t="s">
        <v>3098</v>
      </c>
    </row>
    <row r="966" spans="1:5" ht="15" customHeight="1" x14ac:dyDescent="0.2">
      <c r="A966" s="27" t="s">
        <v>3138</v>
      </c>
      <c r="B966" t="s">
        <v>3138</v>
      </c>
      <c r="C966" t="s">
        <v>3139</v>
      </c>
      <c r="D966" t="s">
        <v>3475</v>
      </c>
      <c r="E966" t="s">
        <v>3098</v>
      </c>
    </row>
    <row r="967" spans="1:5" ht="15" customHeight="1" x14ac:dyDescent="0.2">
      <c r="A967" s="27" t="s">
        <v>3140</v>
      </c>
      <c r="B967" t="s">
        <v>3140</v>
      </c>
      <c r="C967" t="s">
        <v>3141</v>
      </c>
      <c r="D967" t="s">
        <v>3475</v>
      </c>
      <c r="E967" t="s">
        <v>3098</v>
      </c>
    </row>
    <row r="968" spans="1:5" ht="15" customHeight="1" x14ac:dyDescent="0.2">
      <c r="A968" s="27" t="s">
        <v>3142</v>
      </c>
      <c r="B968" t="s">
        <v>3142</v>
      </c>
      <c r="C968" t="s">
        <v>3143</v>
      </c>
      <c r="D968" t="s">
        <v>3475</v>
      </c>
      <c r="E968" t="s">
        <v>3098</v>
      </c>
    </row>
    <row r="969" spans="1:5" ht="15" customHeight="1" x14ac:dyDescent="0.2">
      <c r="A969" s="27" t="s">
        <v>3144</v>
      </c>
      <c r="B969" t="s">
        <v>3144</v>
      </c>
      <c r="C969" t="s">
        <v>3145</v>
      </c>
      <c r="D969" t="s">
        <v>3475</v>
      </c>
      <c r="E969" t="s">
        <v>3098</v>
      </c>
    </row>
    <row r="970" spans="1:5" ht="15" customHeight="1" x14ac:dyDescent="0.2">
      <c r="A970" s="27" t="s">
        <v>3146</v>
      </c>
      <c r="B970" t="s">
        <v>3146</v>
      </c>
      <c r="C970" t="s">
        <v>3147</v>
      </c>
      <c r="D970" t="s">
        <v>3475</v>
      </c>
      <c r="E970" t="s">
        <v>3098</v>
      </c>
    </row>
    <row r="971" spans="1:5" ht="15" customHeight="1" x14ac:dyDescent="0.2">
      <c r="A971" s="27" t="s">
        <v>3148</v>
      </c>
      <c r="B971" t="s">
        <v>3148</v>
      </c>
      <c r="C971" t="s">
        <v>3149</v>
      </c>
      <c r="D971" t="s">
        <v>3475</v>
      </c>
      <c r="E971" t="s">
        <v>3098</v>
      </c>
    </row>
    <row r="972" spans="1:5" ht="15" customHeight="1" x14ac:dyDescent="0.2">
      <c r="A972" s="27" t="s">
        <v>3150</v>
      </c>
      <c r="B972" t="s">
        <v>3150</v>
      </c>
      <c r="C972" t="s">
        <v>3151</v>
      </c>
      <c r="D972" t="s">
        <v>3475</v>
      </c>
      <c r="E972" t="s">
        <v>3098</v>
      </c>
    </row>
    <row r="973" spans="1:5" ht="15" customHeight="1" x14ac:dyDescent="0.2">
      <c r="A973" s="27" t="s">
        <v>3152</v>
      </c>
      <c r="B973" t="s">
        <v>3152</v>
      </c>
      <c r="C973" t="s">
        <v>3153</v>
      </c>
      <c r="D973" t="s">
        <v>3475</v>
      </c>
      <c r="E973" t="s">
        <v>3098</v>
      </c>
    </row>
    <row r="974" spans="1:5" ht="15" customHeight="1" x14ac:dyDescent="0.2">
      <c r="A974" s="27" t="s">
        <v>3154</v>
      </c>
      <c r="B974" t="s">
        <v>3154</v>
      </c>
      <c r="C974" t="s">
        <v>3155</v>
      </c>
      <c r="D974" t="s">
        <v>3475</v>
      </c>
      <c r="E974" t="s">
        <v>3098</v>
      </c>
    </row>
    <row r="975" spans="1:5" ht="15" customHeight="1" x14ac:dyDescent="0.2">
      <c r="A975" s="27" t="s">
        <v>3156</v>
      </c>
      <c r="B975" t="s">
        <v>3156</v>
      </c>
      <c r="C975" t="s">
        <v>3157</v>
      </c>
      <c r="D975" t="s">
        <v>3475</v>
      </c>
      <c r="E975" t="s">
        <v>3098</v>
      </c>
    </row>
    <row r="976" spans="1:5" ht="15" customHeight="1" x14ac:dyDescent="0.2">
      <c r="A976" s="27" t="s">
        <v>3158</v>
      </c>
      <c r="B976" t="s">
        <v>3158</v>
      </c>
      <c r="C976" t="s">
        <v>3159</v>
      </c>
      <c r="D976" t="s">
        <v>3475</v>
      </c>
      <c r="E976" t="s">
        <v>3098</v>
      </c>
    </row>
    <row r="977" spans="1:5" ht="15" customHeight="1" x14ac:dyDescent="0.2">
      <c r="A977" s="27" t="s">
        <v>3160</v>
      </c>
      <c r="B977" t="s">
        <v>3160</v>
      </c>
      <c r="C977" t="s">
        <v>3161</v>
      </c>
      <c r="D977" t="s">
        <v>3475</v>
      </c>
      <c r="E977" t="s">
        <v>3098</v>
      </c>
    </row>
    <row r="978" spans="1:5" ht="15" customHeight="1" x14ac:dyDescent="0.2">
      <c r="A978" s="27" t="s">
        <v>3162</v>
      </c>
      <c r="B978" t="s">
        <v>3162</v>
      </c>
      <c r="C978" t="s">
        <v>3163</v>
      </c>
      <c r="D978" t="s">
        <v>3475</v>
      </c>
      <c r="E978" t="s">
        <v>3098</v>
      </c>
    </row>
    <row r="979" spans="1:5" ht="15" customHeight="1" x14ac:dyDescent="0.2">
      <c r="A979" s="27" t="s">
        <v>3164</v>
      </c>
      <c r="B979" t="s">
        <v>3164</v>
      </c>
      <c r="C979" t="s">
        <v>3165</v>
      </c>
      <c r="D979" t="s">
        <v>3475</v>
      </c>
      <c r="E979" t="s">
        <v>3098</v>
      </c>
    </row>
    <row r="980" spans="1:5" ht="15" customHeight="1" x14ac:dyDescent="0.2">
      <c r="A980" s="27" t="s">
        <v>3166</v>
      </c>
      <c r="B980" t="s">
        <v>3166</v>
      </c>
      <c r="C980" t="s">
        <v>3167</v>
      </c>
      <c r="D980" t="s">
        <v>3475</v>
      </c>
      <c r="E980" t="s">
        <v>3098</v>
      </c>
    </row>
    <row r="981" spans="1:5" ht="15" customHeight="1" x14ac:dyDescent="0.2">
      <c r="A981" s="27" t="s">
        <v>3168</v>
      </c>
      <c r="B981" t="s">
        <v>3168</v>
      </c>
      <c r="C981" t="s">
        <v>3169</v>
      </c>
      <c r="D981" t="s">
        <v>3475</v>
      </c>
      <c r="E981" t="s">
        <v>3098</v>
      </c>
    </row>
    <row r="982" spans="1:5" ht="15" customHeight="1" x14ac:dyDescent="0.2">
      <c r="A982" s="27" t="s">
        <v>3170</v>
      </c>
      <c r="B982" t="s">
        <v>3170</v>
      </c>
      <c r="C982" t="s">
        <v>3171</v>
      </c>
      <c r="D982" t="s">
        <v>3475</v>
      </c>
      <c r="E982" t="s">
        <v>3098</v>
      </c>
    </row>
    <row r="983" spans="1:5" ht="15" customHeight="1" x14ac:dyDescent="0.2">
      <c r="A983" s="27" t="s">
        <v>3172</v>
      </c>
      <c r="B983" t="s">
        <v>3172</v>
      </c>
      <c r="C983" t="s">
        <v>3173</v>
      </c>
      <c r="D983" t="s">
        <v>3475</v>
      </c>
      <c r="E983" t="s">
        <v>3098</v>
      </c>
    </row>
    <row r="984" spans="1:5" ht="15" customHeight="1" x14ac:dyDescent="0.2">
      <c r="A984" s="27" t="s">
        <v>1307</v>
      </c>
      <c r="B984" t="s">
        <v>1307</v>
      </c>
      <c r="C984" t="s">
        <v>1308</v>
      </c>
      <c r="D984" t="s">
        <v>3475</v>
      </c>
      <c r="E984" t="s">
        <v>3098</v>
      </c>
    </row>
    <row r="985" spans="1:5" ht="15" customHeight="1" x14ac:dyDescent="0.2">
      <c r="A985" s="27" t="s">
        <v>3174</v>
      </c>
      <c r="B985" t="s">
        <v>3174</v>
      </c>
      <c r="C985" t="s">
        <v>3175</v>
      </c>
      <c r="D985" t="s">
        <v>3475</v>
      </c>
      <c r="E985" t="s">
        <v>3098</v>
      </c>
    </row>
    <row r="986" spans="1:5" ht="15" customHeight="1" x14ac:dyDescent="0.2">
      <c r="A986" s="27" t="s">
        <v>3176</v>
      </c>
      <c r="B986" t="s">
        <v>3176</v>
      </c>
      <c r="C986" t="s">
        <v>3177</v>
      </c>
      <c r="D986" t="s">
        <v>3475</v>
      </c>
      <c r="E986" t="s">
        <v>3098</v>
      </c>
    </row>
    <row r="987" spans="1:5" ht="15" customHeight="1" x14ac:dyDescent="0.2">
      <c r="A987" s="27" t="s">
        <v>3178</v>
      </c>
      <c r="B987" t="s">
        <v>3178</v>
      </c>
      <c r="C987" t="s">
        <v>3179</v>
      </c>
      <c r="D987" t="s">
        <v>3475</v>
      </c>
      <c r="E987" t="s">
        <v>3098</v>
      </c>
    </row>
    <row r="988" spans="1:5" ht="15" customHeight="1" x14ac:dyDescent="0.2">
      <c r="A988" s="27" t="s">
        <v>3180</v>
      </c>
      <c r="B988" t="s">
        <v>3180</v>
      </c>
      <c r="C988" t="s">
        <v>3181</v>
      </c>
      <c r="D988" t="s">
        <v>3475</v>
      </c>
      <c r="E988" t="s">
        <v>3098</v>
      </c>
    </row>
    <row r="989" spans="1:5" ht="15" customHeight="1" x14ac:dyDescent="0.2">
      <c r="A989" s="27" t="s">
        <v>3182</v>
      </c>
      <c r="B989" t="s">
        <v>3182</v>
      </c>
      <c r="C989" t="s">
        <v>3183</v>
      </c>
      <c r="D989" t="s">
        <v>3475</v>
      </c>
      <c r="E989" t="s">
        <v>3098</v>
      </c>
    </row>
    <row r="990" spans="1:5" ht="15" customHeight="1" x14ac:dyDescent="0.2">
      <c r="A990" s="27" t="s">
        <v>3184</v>
      </c>
      <c r="B990" t="s">
        <v>3184</v>
      </c>
      <c r="C990" t="s">
        <v>3185</v>
      </c>
      <c r="D990" t="s">
        <v>3475</v>
      </c>
      <c r="E990" t="s">
        <v>3098</v>
      </c>
    </row>
    <row r="991" spans="1:5" ht="15" customHeight="1" x14ac:dyDescent="0.2">
      <c r="A991" s="27" t="s">
        <v>3186</v>
      </c>
      <c r="B991" t="s">
        <v>3186</v>
      </c>
      <c r="C991" t="s">
        <v>3187</v>
      </c>
      <c r="D991" t="s">
        <v>3475</v>
      </c>
      <c r="E991" t="s">
        <v>3098</v>
      </c>
    </row>
    <row r="992" spans="1:5" ht="15" customHeight="1" x14ac:dyDescent="0.2">
      <c r="A992" s="27" t="s">
        <v>3188</v>
      </c>
      <c r="B992" t="s">
        <v>3188</v>
      </c>
      <c r="C992" t="s">
        <v>3189</v>
      </c>
      <c r="D992" t="s">
        <v>3475</v>
      </c>
      <c r="E992" t="s">
        <v>3098</v>
      </c>
    </row>
    <row r="993" spans="1:5" ht="15" customHeight="1" x14ac:dyDescent="0.2">
      <c r="A993" s="27" t="s">
        <v>3190</v>
      </c>
      <c r="B993" t="s">
        <v>3190</v>
      </c>
      <c r="C993" t="s">
        <v>3191</v>
      </c>
      <c r="D993" t="s">
        <v>3475</v>
      </c>
      <c r="E993" t="s">
        <v>3098</v>
      </c>
    </row>
    <row r="994" spans="1:5" ht="15" customHeight="1" x14ac:dyDescent="0.2">
      <c r="A994" s="27" t="s">
        <v>3192</v>
      </c>
      <c r="B994" t="s">
        <v>3192</v>
      </c>
      <c r="C994" t="s">
        <v>3193</v>
      </c>
      <c r="D994" t="s">
        <v>3475</v>
      </c>
      <c r="E994" t="s">
        <v>3098</v>
      </c>
    </row>
    <row r="995" spans="1:5" ht="15" customHeight="1" x14ac:dyDescent="0.2">
      <c r="A995" s="27" t="s">
        <v>3194</v>
      </c>
      <c r="B995" t="s">
        <v>3194</v>
      </c>
      <c r="C995" t="s">
        <v>3195</v>
      </c>
      <c r="D995" t="s">
        <v>3475</v>
      </c>
      <c r="E995" t="s">
        <v>3098</v>
      </c>
    </row>
    <row r="996" spans="1:5" ht="15" customHeight="1" x14ac:dyDescent="0.2">
      <c r="A996" s="27" t="s">
        <v>3196</v>
      </c>
      <c r="B996" t="s">
        <v>3196</v>
      </c>
      <c r="C996" t="s">
        <v>3197</v>
      </c>
      <c r="D996" t="s">
        <v>3475</v>
      </c>
      <c r="E996" t="s">
        <v>3098</v>
      </c>
    </row>
    <row r="997" spans="1:5" ht="15" customHeight="1" x14ac:dyDescent="0.2">
      <c r="A997" s="27" t="s">
        <v>3198</v>
      </c>
      <c r="B997" t="s">
        <v>3198</v>
      </c>
      <c r="C997" t="s">
        <v>3199</v>
      </c>
      <c r="D997" t="s">
        <v>3475</v>
      </c>
      <c r="E997" t="s">
        <v>3098</v>
      </c>
    </row>
    <row r="998" spans="1:5" ht="15" customHeight="1" x14ac:dyDescent="0.2">
      <c r="A998" s="27" t="s">
        <v>3200</v>
      </c>
      <c r="B998" t="s">
        <v>3200</v>
      </c>
      <c r="C998" t="s">
        <v>3201</v>
      </c>
      <c r="D998" t="s">
        <v>3475</v>
      </c>
      <c r="E998" t="s">
        <v>3098</v>
      </c>
    </row>
    <row r="999" spans="1:5" ht="15" customHeight="1" x14ac:dyDescent="0.2">
      <c r="A999" s="27" t="s">
        <v>3202</v>
      </c>
      <c r="B999" t="s">
        <v>3202</v>
      </c>
      <c r="C999" t="s">
        <v>3203</v>
      </c>
      <c r="D999" t="s">
        <v>3475</v>
      </c>
      <c r="E999" t="s">
        <v>3098</v>
      </c>
    </row>
    <row r="1000" spans="1:5" ht="15" customHeight="1" x14ac:dyDescent="0.2">
      <c r="A1000" s="27" t="s">
        <v>3204</v>
      </c>
      <c r="B1000" t="s">
        <v>3204</v>
      </c>
      <c r="C1000" t="s">
        <v>3205</v>
      </c>
      <c r="D1000" t="s">
        <v>3475</v>
      </c>
      <c r="E1000" t="s">
        <v>3098</v>
      </c>
    </row>
    <row r="1001" spans="1:5" ht="15" customHeight="1" x14ac:dyDescent="0.2">
      <c r="A1001" s="27" t="s">
        <v>3206</v>
      </c>
      <c r="B1001" t="s">
        <v>3206</v>
      </c>
      <c r="C1001" t="s">
        <v>3207</v>
      </c>
      <c r="D1001" t="s">
        <v>3475</v>
      </c>
      <c r="E1001" t="s">
        <v>3098</v>
      </c>
    </row>
    <row r="1002" spans="1:5" ht="15" customHeight="1" x14ac:dyDescent="0.2">
      <c r="A1002" s="27" t="s">
        <v>3208</v>
      </c>
      <c r="B1002" t="s">
        <v>3208</v>
      </c>
      <c r="C1002" t="s">
        <v>3209</v>
      </c>
      <c r="D1002" t="s">
        <v>3475</v>
      </c>
      <c r="E1002" t="s">
        <v>3098</v>
      </c>
    </row>
    <row r="1003" spans="1:5" ht="15" customHeight="1" x14ac:dyDescent="0.2">
      <c r="A1003" s="27" t="s">
        <v>3210</v>
      </c>
      <c r="B1003" t="s">
        <v>3210</v>
      </c>
      <c r="C1003" t="s">
        <v>3211</v>
      </c>
      <c r="D1003" t="s">
        <v>3475</v>
      </c>
      <c r="E1003" t="s">
        <v>3098</v>
      </c>
    </row>
    <row r="1004" spans="1:5" ht="15" customHeight="1" x14ac:dyDescent="0.2">
      <c r="A1004" s="27" t="s">
        <v>3212</v>
      </c>
      <c r="B1004" t="s">
        <v>3212</v>
      </c>
      <c r="C1004" t="s">
        <v>3213</v>
      </c>
      <c r="D1004" t="s">
        <v>3475</v>
      </c>
      <c r="E1004" t="s">
        <v>3098</v>
      </c>
    </row>
    <row r="1005" spans="1:5" ht="15" customHeight="1" x14ac:dyDescent="0.2">
      <c r="A1005" s="27" t="s">
        <v>3214</v>
      </c>
      <c r="B1005" t="s">
        <v>3214</v>
      </c>
      <c r="C1005" t="s">
        <v>3215</v>
      </c>
      <c r="D1005" t="s">
        <v>3475</v>
      </c>
      <c r="E1005" t="s">
        <v>3098</v>
      </c>
    </row>
    <row r="1006" spans="1:5" ht="15" customHeight="1" x14ac:dyDescent="0.2">
      <c r="A1006" s="27" t="s">
        <v>3216</v>
      </c>
      <c r="B1006" t="s">
        <v>3216</v>
      </c>
      <c r="C1006" t="s">
        <v>3217</v>
      </c>
      <c r="D1006" t="s">
        <v>3475</v>
      </c>
      <c r="E1006" t="s">
        <v>3098</v>
      </c>
    </row>
    <row r="1007" spans="1:5" ht="15" customHeight="1" x14ac:dyDescent="0.2">
      <c r="A1007" s="27" t="s">
        <v>3218</v>
      </c>
      <c r="B1007" t="s">
        <v>3218</v>
      </c>
      <c r="C1007" t="s">
        <v>3219</v>
      </c>
      <c r="D1007" t="s">
        <v>3475</v>
      </c>
      <c r="E1007" t="s">
        <v>3098</v>
      </c>
    </row>
    <row r="1008" spans="1:5" ht="15" customHeight="1" x14ac:dyDescent="0.2">
      <c r="A1008" s="27" t="s">
        <v>3220</v>
      </c>
      <c r="B1008" t="s">
        <v>3220</v>
      </c>
      <c r="C1008" t="s">
        <v>3221</v>
      </c>
      <c r="D1008" t="s">
        <v>3475</v>
      </c>
      <c r="E1008" t="s">
        <v>3098</v>
      </c>
    </row>
    <row r="1009" spans="1:5" ht="15" customHeight="1" x14ac:dyDescent="0.2">
      <c r="A1009" s="27" t="s">
        <v>3222</v>
      </c>
      <c r="B1009" t="s">
        <v>3222</v>
      </c>
      <c r="C1009" t="s">
        <v>3223</v>
      </c>
      <c r="D1009" t="s">
        <v>3475</v>
      </c>
      <c r="E1009" t="s">
        <v>3098</v>
      </c>
    </row>
    <row r="1010" spans="1:5" ht="15" customHeight="1" x14ac:dyDescent="0.2">
      <c r="A1010" s="27" t="s">
        <v>3224</v>
      </c>
      <c r="B1010" t="s">
        <v>3224</v>
      </c>
      <c r="C1010" t="s">
        <v>3225</v>
      </c>
      <c r="D1010" t="s">
        <v>3475</v>
      </c>
      <c r="E1010" t="s">
        <v>3098</v>
      </c>
    </row>
    <row r="1011" spans="1:5" ht="15" customHeight="1" x14ac:dyDescent="0.2">
      <c r="A1011" s="27" t="s">
        <v>3226</v>
      </c>
      <c r="B1011" t="s">
        <v>3226</v>
      </c>
      <c r="C1011" t="s">
        <v>3227</v>
      </c>
      <c r="D1011" t="s">
        <v>3475</v>
      </c>
      <c r="E1011" t="s">
        <v>3098</v>
      </c>
    </row>
    <row r="1012" spans="1:5" ht="15" customHeight="1" x14ac:dyDescent="0.2">
      <c r="A1012" s="27" t="s">
        <v>3228</v>
      </c>
      <c r="B1012" t="s">
        <v>3228</v>
      </c>
      <c r="C1012" t="s">
        <v>3229</v>
      </c>
      <c r="D1012" t="s">
        <v>3475</v>
      </c>
      <c r="E1012" t="s">
        <v>3098</v>
      </c>
    </row>
    <row r="1013" spans="1:5" ht="15" customHeight="1" x14ac:dyDescent="0.2">
      <c r="A1013" s="27" t="s">
        <v>3230</v>
      </c>
      <c r="B1013" t="s">
        <v>3230</v>
      </c>
      <c r="C1013" t="s">
        <v>3231</v>
      </c>
      <c r="D1013" t="s">
        <v>3475</v>
      </c>
      <c r="E1013" t="s">
        <v>3098</v>
      </c>
    </row>
    <row r="1014" spans="1:5" ht="15" customHeight="1" x14ac:dyDescent="0.2">
      <c r="A1014" s="27" t="s">
        <v>1836</v>
      </c>
      <c r="B1014" t="s">
        <v>1836</v>
      </c>
      <c r="C1014" t="s">
        <v>1837</v>
      </c>
      <c r="D1014" t="s">
        <v>3475</v>
      </c>
      <c r="E1014" t="s">
        <v>3098</v>
      </c>
    </row>
    <row r="1015" spans="1:5" ht="15" customHeight="1" x14ac:dyDescent="0.2">
      <c r="A1015" s="27" t="s">
        <v>1862</v>
      </c>
      <c r="B1015" t="s">
        <v>1862</v>
      </c>
      <c r="C1015" t="s">
        <v>1863</v>
      </c>
      <c r="D1015" t="s">
        <v>3099</v>
      </c>
      <c r="E1015" t="s">
        <v>3098</v>
      </c>
    </row>
    <row r="1016" spans="1:5" ht="15" customHeight="1" x14ac:dyDescent="0.2">
      <c r="A1016" s="27" t="s">
        <v>821</v>
      </c>
      <c r="B1016" t="s">
        <v>821</v>
      </c>
      <c r="C1016" t="s">
        <v>823</v>
      </c>
      <c r="D1016" t="s">
        <v>3475</v>
      </c>
      <c r="E1016" t="s">
        <v>3098</v>
      </c>
    </row>
    <row r="1017" spans="1:5" ht="15" customHeight="1" x14ac:dyDescent="0.2">
      <c r="A1017" s="27" t="s">
        <v>822</v>
      </c>
      <c r="B1017" t="s">
        <v>822</v>
      </c>
      <c r="C1017" t="s">
        <v>824</v>
      </c>
      <c r="D1017" t="s">
        <v>3475</v>
      </c>
      <c r="E1017" t="s">
        <v>3098</v>
      </c>
    </row>
    <row r="1018" spans="1:5" ht="15" customHeight="1" x14ac:dyDescent="0.2">
      <c r="A1018" s="27" t="s">
        <v>1444</v>
      </c>
      <c r="B1018" t="s">
        <v>1446</v>
      </c>
      <c r="C1018" t="s">
        <v>1447</v>
      </c>
      <c r="D1018" t="s">
        <v>1445</v>
      </c>
      <c r="E1018" t="s">
        <v>3098</v>
      </c>
    </row>
    <row r="1019" spans="1:5" ht="15" customHeight="1" x14ac:dyDescent="0.2">
      <c r="A1019" s="27" t="s">
        <v>1451</v>
      </c>
      <c r="B1019" t="s">
        <v>1451</v>
      </c>
      <c r="C1019" t="s">
        <v>1452</v>
      </c>
      <c r="D1019" t="s">
        <v>3099</v>
      </c>
      <c r="E1019" t="s">
        <v>3098</v>
      </c>
    </row>
    <row r="1020" spans="1:5" ht="15" customHeight="1" x14ac:dyDescent="0.2">
      <c r="A1020" s="27" t="s">
        <v>2959</v>
      </c>
      <c r="B1020" t="s">
        <v>2959</v>
      </c>
      <c r="C1020" t="s">
        <v>2960</v>
      </c>
      <c r="D1020" t="s">
        <v>2961</v>
      </c>
      <c r="E1020" t="s">
        <v>3098</v>
      </c>
    </row>
    <row r="1021" spans="1:5" ht="15" customHeight="1" x14ac:dyDescent="0.2">
      <c r="A1021" s="27" t="s">
        <v>2962</v>
      </c>
      <c r="B1021" t="s">
        <v>2962</v>
      </c>
      <c r="C1021" t="s">
        <v>2963</v>
      </c>
      <c r="D1021" t="s">
        <v>2961</v>
      </c>
      <c r="E1021" t="s">
        <v>3098</v>
      </c>
    </row>
    <row r="1022" spans="1:5" ht="15" customHeight="1" x14ac:dyDescent="0.2">
      <c r="A1022" s="27" t="s">
        <v>2966</v>
      </c>
      <c r="B1022" t="s">
        <v>2967</v>
      </c>
      <c r="C1022" t="s">
        <v>2968</v>
      </c>
      <c r="D1022" t="s">
        <v>1445</v>
      </c>
      <c r="E1022" t="s">
        <v>3098</v>
      </c>
    </row>
    <row r="1023" spans="1:5" ht="15" customHeight="1" x14ac:dyDescent="0.2">
      <c r="A1023" s="27" t="s">
        <v>2977</v>
      </c>
      <c r="B1023" t="s">
        <v>2978</v>
      </c>
      <c r="C1023" t="s">
        <v>2976</v>
      </c>
      <c r="D1023" t="s">
        <v>1445</v>
      </c>
      <c r="E1023" t="s">
        <v>3098</v>
      </c>
    </row>
    <row r="1024" spans="1:5" ht="15" customHeight="1" x14ac:dyDescent="0.2">
      <c r="A1024" s="27" t="s">
        <v>2979</v>
      </c>
      <c r="B1024" t="s">
        <v>2980</v>
      </c>
      <c r="C1024" t="s">
        <v>2981</v>
      </c>
      <c r="D1024" t="s">
        <v>1445</v>
      </c>
      <c r="E1024" t="s">
        <v>3098</v>
      </c>
    </row>
    <row r="1025" spans="1:5" ht="15" customHeight="1" x14ac:dyDescent="0.2">
      <c r="A1025" s="27" t="s">
        <v>2986</v>
      </c>
      <c r="B1025" t="s">
        <v>2987</v>
      </c>
      <c r="C1025" t="s">
        <v>2988</v>
      </c>
      <c r="D1025" t="s">
        <v>1445</v>
      </c>
      <c r="E1025" t="s">
        <v>3098</v>
      </c>
    </row>
    <row r="1026" spans="1:5" ht="15" customHeight="1" x14ac:dyDescent="0.2">
      <c r="A1026" s="27" t="s">
        <v>2989</v>
      </c>
      <c r="B1026" t="s">
        <v>2990</v>
      </c>
      <c r="C1026" t="s">
        <v>2991</v>
      </c>
      <c r="D1026" t="s">
        <v>1445</v>
      </c>
      <c r="E1026" t="s">
        <v>3098</v>
      </c>
    </row>
    <row r="1027" spans="1:5" ht="15" customHeight="1" x14ac:dyDescent="0.2">
      <c r="A1027" s="27" t="s">
        <v>2994</v>
      </c>
      <c r="B1027" t="s">
        <v>2993</v>
      </c>
      <c r="C1027" t="s">
        <v>2997</v>
      </c>
      <c r="D1027" t="s">
        <v>1445</v>
      </c>
      <c r="E1027" t="s">
        <v>3098</v>
      </c>
    </row>
    <row r="1028" spans="1:5" ht="15" customHeight="1" x14ac:dyDescent="0.2">
      <c r="A1028" s="27" t="s">
        <v>2996</v>
      </c>
      <c r="B1028" t="s">
        <v>2995</v>
      </c>
      <c r="C1028" t="s">
        <v>2998</v>
      </c>
      <c r="D1028" t="s">
        <v>1445</v>
      </c>
      <c r="E1028" t="s">
        <v>3098</v>
      </c>
    </row>
    <row r="1029" spans="1:5" ht="15" customHeight="1" x14ac:dyDescent="0.2">
      <c r="A1029" s="27" t="s">
        <v>2999</v>
      </c>
      <c r="B1029" t="s">
        <v>3000</v>
      </c>
      <c r="C1029" t="s">
        <v>3001</v>
      </c>
      <c r="D1029" t="s">
        <v>1445</v>
      </c>
      <c r="E1029" t="s">
        <v>3098</v>
      </c>
    </row>
    <row r="1030" spans="1:5" ht="15" customHeight="1" x14ac:dyDescent="0.2">
      <c r="A1030" s="27" t="s">
        <v>3002</v>
      </c>
      <c r="B1030" t="s">
        <v>3003</v>
      </c>
      <c r="C1030" t="s">
        <v>3004</v>
      </c>
      <c r="D1030" t="s">
        <v>1445</v>
      </c>
      <c r="E1030" t="s">
        <v>3098</v>
      </c>
    </row>
    <row r="1031" spans="1:5" ht="15" customHeight="1" x14ac:dyDescent="0.2">
      <c r="A1031" s="27" t="s">
        <v>3005</v>
      </c>
      <c r="B1031" t="s">
        <v>3005</v>
      </c>
      <c r="C1031" t="s">
        <v>3007</v>
      </c>
      <c r="D1031" t="s">
        <v>1445</v>
      </c>
      <c r="E1031" t="s">
        <v>3098</v>
      </c>
    </row>
    <row r="1032" spans="1:5" ht="15" customHeight="1" x14ac:dyDescent="0.2">
      <c r="A1032" s="27" t="s">
        <v>3006</v>
      </c>
      <c r="B1032" t="s">
        <v>3006</v>
      </c>
      <c r="C1032" t="s">
        <v>3008</v>
      </c>
      <c r="D1032" t="s">
        <v>1445</v>
      </c>
      <c r="E1032" t="s">
        <v>3098</v>
      </c>
    </row>
    <row r="1033" spans="1:5" ht="15" customHeight="1" x14ac:dyDescent="0.2">
      <c r="A1033" s="27" t="s">
        <v>3009</v>
      </c>
      <c r="B1033" t="s">
        <v>3010</v>
      </c>
      <c r="C1033" t="s">
        <v>3011</v>
      </c>
      <c r="D1033" t="s">
        <v>1445</v>
      </c>
      <c r="E1033" t="s">
        <v>3098</v>
      </c>
    </row>
    <row r="1034" spans="1:5" ht="15" customHeight="1" x14ac:dyDescent="0.2">
      <c r="A1034" s="27" t="s">
        <v>3012</v>
      </c>
      <c r="B1034" t="s">
        <v>3013</v>
      </c>
      <c r="C1034" t="s">
        <v>3014</v>
      </c>
      <c r="D1034" t="s">
        <v>1445</v>
      </c>
      <c r="E1034" t="s">
        <v>3098</v>
      </c>
    </row>
    <row r="1035" spans="1:5" ht="15" customHeight="1" x14ac:dyDescent="0.2">
      <c r="A1035" s="27" t="s">
        <v>3018</v>
      </c>
      <c r="B1035" t="s">
        <v>3019</v>
      </c>
      <c r="C1035" t="s">
        <v>3020</v>
      </c>
      <c r="D1035" t="s">
        <v>1445</v>
      </c>
      <c r="E1035" t="s">
        <v>3098</v>
      </c>
    </row>
    <row r="1036" spans="1:5" ht="15" customHeight="1" x14ac:dyDescent="0.2">
      <c r="A1036" s="27" t="s">
        <v>3570</v>
      </c>
      <c r="B1036" t="s">
        <v>3570</v>
      </c>
      <c r="C1036" t="s">
        <v>3571</v>
      </c>
      <c r="D1036" t="s">
        <v>1445</v>
      </c>
      <c r="E1036" t="s">
        <v>3098</v>
      </c>
    </row>
    <row r="1037" spans="1:5" ht="15" customHeight="1" x14ac:dyDescent="0.2">
      <c r="A1037" s="27" t="s">
        <v>3577</v>
      </c>
      <c r="B1037" t="s">
        <v>3577</v>
      </c>
      <c r="C1037" t="s">
        <v>3578</v>
      </c>
      <c r="D1037" t="s">
        <v>1445</v>
      </c>
      <c r="E1037" t="s">
        <v>3098</v>
      </c>
    </row>
    <row r="1038" spans="1:5" ht="15" customHeight="1" x14ac:dyDescent="0.2">
      <c r="A1038" s="27" t="s">
        <v>3581</v>
      </c>
      <c r="B1038" t="s">
        <v>3581</v>
      </c>
      <c r="C1038" t="s">
        <v>3584</v>
      </c>
      <c r="D1038" t="s">
        <v>1445</v>
      </c>
      <c r="E1038" t="s">
        <v>3098</v>
      </c>
    </row>
    <row r="1039" spans="1:5" ht="15" customHeight="1" x14ac:dyDescent="0.2">
      <c r="A1039" s="27" t="s">
        <v>3582</v>
      </c>
      <c r="B1039" t="s">
        <v>3582</v>
      </c>
      <c r="C1039" t="s">
        <v>3585</v>
      </c>
      <c r="D1039" t="s">
        <v>1445</v>
      </c>
      <c r="E1039" t="s">
        <v>3098</v>
      </c>
    </row>
    <row r="1040" spans="1:5" ht="15" customHeight="1" x14ac:dyDescent="0.2">
      <c r="A1040" s="27" t="s">
        <v>3583</v>
      </c>
      <c r="B1040" t="s">
        <v>3583</v>
      </c>
      <c r="C1040" t="s">
        <v>3586</v>
      </c>
      <c r="D1040" t="s">
        <v>1445</v>
      </c>
      <c r="E1040" t="s">
        <v>3098</v>
      </c>
    </row>
    <row r="1041" spans="1:5" ht="15" customHeight="1" x14ac:dyDescent="0.2">
      <c r="A1041" s="27" t="s">
        <v>3592</v>
      </c>
      <c r="B1041" s="27" t="s">
        <v>3592</v>
      </c>
      <c r="C1041" t="s">
        <v>3593</v>
      </c>
      <c r="D1041" t="s">
        <v>1445</v>
      </c>
      <c r="E1041" t="s">
        <v>3098</v>
      </c>
    </row>
    <row r="1042" spans="1:5" ht="15" customHeight="1" x14ac:dyDescent="0.2">
      <c r="A1042" s="27" t="s">
        <v>3604</v>
      </c>
      <c r="B1042" s="27" t="s">
        <v>3604</v>
      </c>
      <c r="C1042" t="s">
        <v>3605</v>
      </c>
      <c r="D1042" t="s">
        <v>1445</v>
      </c>
      <c r="E1042" t="s">
        <v>3098</v>
      </c>
    </row>
    <row r="1043" spans="1:5" ht="15" customHeight="1" x14ac:dyDescent="0.2">
      <c r="A1043" s="27" t="s">
        <v>3610</v>
      </c>
      <c r="B1043" s="27" t="s">
        <v>3610</v>
      </c>
      <c r="C1043" t="s">
        <v>3613</v>
      </c>
      <c r="D1043" t="s">
        <v>1445</v>
      </c>
      <c r="E1043" t="s">
        <v>3098</v>
      </c>
    </row>
    <row r="1044" spans="1:5" ht="15" customHeight="1" x14ac:dyDescent="0.2">
      <c r="A1044" s="27" t="s">
        <v>3611</v>
      </c>
      <c r="B1044" s="27" t="s">
        <v>3611</v>
      </c>
      <c r="C1044" t="s">
        <v>3612</v>
      </c>
      <c r="D1044" t="s">
        <v>1445</v>
      </c>
      <c r="E1044" t="s">
        <v>3098</v>
      </c>
    </row>
    <row r="1045" spans="1:5" ht="15" customHeight="1" x14ac:dyDescent="0.2">
      <c r="A1045" s="27" t="s">
        <v>3642</v>
      </c>
      <c r="B1045" s="27" t="s">
        <v>3642</v>
      </c>
      <c r="C1045" t="s">
        <v>3643</v>
      </c>
      <c r="D1045" t="s">
        <v>1445</v>
      </c>
      <c r="E1045" t="s">
        <v>3098</v>
      </c>
    </row>
    <row r="1046" spans="1:5" ht="15" customHeight="1" x14ac:dyDescent="0.2">
      <c r="A1046" s="27" t="s">
        <v>3644</v>
      </c>
      <c r="B1046" s="27" t="s">
        <v>3644</v>
      </c>
      <c r="C1046" t="s">
        <v>3645</v>
      </c>
      <c r="D1046" t="s">
        <v>1445</v>
      </c>
      <c r="E1046" t="s">
        <v>3098</v>
      </c>
    </row>
    <row r="1047" spans="1:5" ht="15" customHeight="1" x14ac:dyDescent="0.2">
      <c r="A1047" s="27" t="s">
        <v>3663</v>
      </c>
      <c r="B1047" s="27" t="s">
        <v>3664</v>
      </c>
      <c r="C1047" t="s">
        <v>3665</v>
      </c>
      <c r="D1047" t="s">
        <v>1445</v>
      </c>
      <c r="E1047" t="s">
        <v>3098</v>
      </c>
    </row>
    <row r="1048" spans="1:5" ht="15" customHeight="1" x14ac:dyDescent="0.2">
      <c r="A1048" s="27" t="s">
        <v>3666</v>
      </c>
      <c r="B1048" s="27" t="s">
        <v>3667</v>
      </c>
      <c r="C1048" t="s">
        <v>3668</v>
      </c>
      <c r="D1048" t="s">
        <v>1445</v>
      </c>
      <c r="E1048" t="s">
        <v>3098</v>
      </c>
    </row>
    <row r="1049" spans="1:5" ht="15" customHeight="1" x14ac:dyDescent="0.2">
      <c r="A1049" s="27" t="s">
        <v>3678</v>
      </c>
      <c r="B1049" s="27" t="s">
        <v>3678</v>
      </c>
      <c r="C1049" t="s">
        <v>3679</v>
      </c>
      <c r="D1049" t="s">
        <v>1445</v>
      </c>
      <c r="E1049" t="s">
        <v>3098</v>
      </c>
    </row>
    <row r="1050" spans="1:5" ht="15" customHeight="1" x14ac:dyDescent="0.2">
      <c r="A1050" s="27" t="s">
        <v>3671</v>
      </c>
      <c r="B1050" s="27" t="s">
        <v>3671</v>
      </c>
      <c r="C1050" t="s">
        <v>3672</v>
      </c>
      <c r="D1050" t="s">
        <v>1445</v>
      </c>
      <c r="E1050" t="s">
        <v>3098</v>
      </c>
    </row>
    <row r="1051" spans="1:5" ht="15" customHeight="1" x14ac:dyDescent="0.2">
      <c r="A1051" s="27" t="s">
        <v>1324</v>
      </c>
      <c r="B1051" t="s">
        <v>1324</v>
      </c>
      <c r="C1051" t="s">
        <v>1325</v>
      </c>
      <c r="D1051" t="s">
        <v>3485</v>
      </c>
      <c r="E1051" t="s">
        <v>3485</v>
      </c>
    </row>
    <row r="1052" spans="1:5" ht="15" customHeight="1" x14ac:dyDescent="0.2">
      <c r="A1052" s="27" t="s">
        <v>1326</v>
      </c>
      <c r="B1052" t="s">
        <v>1326</v>
      </c>
      <c r="C1052" t="s">
        <v>1327</v>
      </c>
      <c r="D1052" t="s">
        <v>3485</v>
      </c>
      <c r="E1052" t="s">
        <v>3485</v>
      </c>
    </row>
    <row r="1053" spans="1:5" ht="15" customHeight="1" x14ac:dyDescent="0.2">
      <c r="A1053" s="27" t="s">
        <v>1328</v>
      </c>
      <c r="B1053" t="s">
        <v>1328</v>
      </c>
      <c r="C1053" t="s">
        <v>1329</v>
      </c>
      <c r="D1053" t="s">
        <v>3485</v>
      </c>
      <c r="E1053" t="s">
        <v>3485</v>
      </c>
    </row>
    <row r="1054" spans="1:5" ht="15" customHeight="1" x14ac:dyDescent="0.2">
      <c r="A1054" s="27" t="s">
        <v>1332</v>
      </c>
      <c r="B1054" t="s">
        <v>1332</v>
      </c>
      <c r="C1054" t="s">
        <v>1333</v>
      </c>
      <c r="D1054" t="s">
        <v>3485</v>
      </c>
      <c r="E1054" t="s">
        <v>3485</v>
      </c>
    </row>
    <row r="1055" spans="1:5" ht="15" customHeight="1" x14ac:dyDescent="0.2">
      <c r="A1055" s="27" t="s">
        <v>1334</v>
      </c>
      <c r="B1055" t="s">
        <v>1334</v>
      </c>
      <c r="C1055" t="s">
        <v>1335</v>
      </c>
      <c r="D1055" t="s">
        <v>3485</v>
      </c>
      <c r="E1055" t="s">
        <v>3485</v>
      </c>
    </row>
    <row r="1056" spans="1:5" ht="15" customHeight="1" x14ac:dyDescent="0.2">
      <c r="A1056" s="27" t="s">
        <v>1330</v>
      </c>
      <c r="B1056" t="s">
        <v>1330</v>
      </c>
      <c r="C1056" t="s">
        <v>1331</v>
      </c>
      <c r="D1056" t="s">
        <v>3485</v>
      </c>
      <c r="E1056" t="s">
        <v>3485</v>
      </c>
    </row>
    <row r="1057" spans="1:5" ht="15" customHeight="1" x14ac:dyDescent="0.2">
      <c r="A1057" s="27" t="s">
        <v>1336</v>
      </c>
      <c r="B1057" t="s">
        <v>1336</v>
      </c>
      <c r="C1057" t="s">
        <v>1337</v>
      </c>
      <c r="D1057" t="s">
        <v>3485</v>
      </c>
      <c r="E1057" t="s">
        <v>3485</v>
      </c>
    </row>
    <row r="1058" spans="1:5" ht="15" customHeight="1" x14ac:dyDescent="0.2">
      <c r="A1058" s="27" t="s">
        <v>1338</v>
      </c>
      <c r="B1058" t="s">
        <v>1338</v>
      </c>
      <c r="C1058" t="s">
        <v>1339</v>
      </c>
      <c r="D1058" t="s">
        <v>3485</v>
      </c>
      <c r="E1058" t="s">
        <v>3485</v>
      </c>
    </row>
    <row r="1059" spans="1:5" ht="15" customHeight="1" x14ac:dyDescent="0.2">
      <c r="A1059" s="27" t="s">
        <v>1340</v>
      </c>
      <c r="B1059" t="s">
        <v>1340</v>
      </c>
      <c r="C1059" t="s">
        <v>1341</v>
      </c>
      <c r="D1059" t="s">
        <v>3485</v>
      </c>
      <c r="E1059" t="s">
        <v>3485</v>
      </c>
    </row>
    <row r="1060" spans="1:5" ht="15" customHeight="1" x14ac:dyDescent="0.2">
      <c r="A1060" s="27" t="s">
        <v>1342</v>
      </c>
      <c r="B1060" t="s">
        <v>1342</v>
      </c>
      <c r="C1060" t="s">
        <v>1343</v>
      </c>
      <c r="D1060" t="s">
        <v>3485</v>
      </c>
      <c r="E1060" t="s">
        <v>3485</v>
      </c>
    </row>
    <row r="1061" spans="1:5" ht="15" customHeight="1" x14ac:dyDescent="0.2">
      <c r="A1061" s="27" t="s">
        <v>1350</v>
      </c>
      <c r="B1061" t="s">
        <v>1350</v>
      </c>
      <c r="C1061" t="s">
        <v>1351</v>
      </c>
      <c r="D1061" t="s">
        <v>3485</v>
      </c>
      <c r="E1061" t="s">
        <v>3485</v>
      </c>
    </row>
    <row r="1062" spans="1:5" ht="15" customHeight="1" x14ac:dyDescent="0.2">
      <c r="A1062" s="27" t="s">
        <v>1346</v>
      </c>
      <c r="B1062" t="s">
        <v>1346</v>
      </c>
      <c r="C1062" t="s">
        <v>1347</v>
      </c>
      <c r="D1062" t="s">
        <v>3485</v>
      </c>
      <c r="E1062" t="s">
        <v>3485</v>
      </c>
    </row>
    <row r="1063" spans="1:5" ht="15" customHeight="1" x14ac:dyDescent="0.2">
      <c r="A1063" s="27" t="s">
        <v>1348</v>
      </c>
      <c r="B1063" t="s">
        <v>1348</v>
      </c>
      <c r="C1063" t="s">
        <v>1349</v>
      </c>
      <c r="D1063" t="s">
        <v>3485</v>
      </c>
      <c r="E1063" t="s">
        <v>3485</v>
      </c>
    </row>
    <row r="1064" spans="1:5" ht="15" customHeight="1" x14ac:dyDescent="0.2">
      <c r="A1064" s="27" t="s">
        <v>1344</v>
      </c>
      <c r="B1064" t="s">
        <v>1344</v>
      </c>
      <c r="C1064" t="s">
        <v>1345</v>
      </c>
      <c r="D1064" t="s">
        <v>3485</v>
      </c>
      <c r="E1064" t="s">
        <v>3485</v>
      </c>
    </row>
    <row r="1065" spans="1:5" ht="15" customHeight="1" x14ac:dyDescent="0.2">
      <c r="A1065" s="27" t="s">
        <v>1885</v>
      </c>
      <c r="B1065" t="s">
        <v>1885</v>
      </c>
      <c r="C1065" t="s">
        <v>1886</v>
      </c>
      <c r="D1065" t="s">
        <v>3485</v>
      </c>
      <c r="E1065" t="s">
        <v>3485</v>
      </c>
    </row>
    <row r="1066" spans="1:5" ht="15" customHeight="1" x14ac:dyDescent="0.2">
      <c r="A1066" s="55" t="s">
        <v>2436</v>
      </c>
      <c r="B1066" s="55" t="s">
        <v>2436</v>
      </c>
      <c r="C1066" t="s">
        <v>2437</v>
      </c>
      <c r="D1066" t="s">
        <v>2438</v>
      </c>
      <c r="E1066" t="s">
        <v>3485</v>
      </c>
    </row>
    <row r="1067" spans="1:5" ht="15" customHeight="1" x14ac:dyDescent="0.2">
      <c r="A1067" s="55" t="s">
        <v>2439</v>
      </c>
      <c r="B1067" s="55" t="s">
        <v>2439</v>
      </c>
      <c r="C1067" t="s">
        <v>2440</v>
      </c>
      <c r="D1067" t="s">
        <v>2441</v>
      </c>
      <c r="E1067" t="s">
        <v>3485</v>
      </c>
    </row>
    <row r="1068" spans="1:5" ht="15" customHeight="1" x14ac:dyDescent="0.2">
      <c r="A1068" s="55" t="s">
        <v>2442</v>
      </c>
      <c r="B1068" s="55" t="s">
        <v>2442</v>
      </c>
      <c r="C1068" t="s">
        <v>2443</v>
      </c>
      <c r="D1068" t="s">
        <v>2441</v>
      </c>
      <c r="E1068" t="s">
        <v>3485</v>
      </c>
    </row>
    <row r="1069" spans="1:5" ht="15" customHeight="1" x14ac:dyDescent="0.2">
      <c r="A1069" s="55" t="s">
        <v>2444</v>
      </c>
      <c r="B1069" s="55" t="s">
        <v>2444</v>
      </c>
      <c r="C1069" t="s">
        <v>2445</v>
      </c>
      <c r="D1069" t="s">
        <v>2441</v>
      </c>
      <c r="E1069" t="s">
        <v>3485</v>
      </c>
    </row>
    <row r="1070" spans="1:5" ht="15" customHeight="1" x14ac:dyDescent="0.2">
      <c r="A1070" s="55" t="s">
        <v>2446</v>
      </c>
      <c r="B1070" s="55" t="s">
        <v>2446</v>
      </c>
      <c r="C1070" t="s">
        <v>2447</v>
      </c>
      <c r="D1070" t="s">
        <v>2441</v>
      </c>
      <c r="E1070" t="s">
        <v>3485</v>
      </c>
    </row>
    <row r="1071" spans="1:5" ht="15" customHeight="1" x14ac:dyDescent="0.2">
      <c r="A1071" s="55" t="s">
        <v>2448</v>
      </c>
      <c r="B1071" s="55" t="s">
        <v>2448</v>
      </c>
      <c r="C1071" t="s">
        <v>2449</v>
      </c>
      <c r="D1071" t="s">
        <v>2441</v>
      </c>
      <c r="E1071" t="s">
        <v>3485</v>
      </c>
    </row>
    <row r="1072" spans="1:5" ht="15" customHeight="1" x14ac:dyDescent="0.2">
      <c r="A1072" s="55" t="s">
        <v>2448</v>
      </c>
      <c r="B1072" s="55" t="s">
        <v>2448</v>
      </c>
      <c r="C1072" t="s">
        <v>2449</v>
      </c>
      <c r="D1072" t="s">
        <v>2441</v>
      </c>
      <c r="E1072" t="s">
        <v>3485</v>
      </c>
    </row>
    <row r="1073" spans="1:5" ht="15" customHeight="1" x14ac:dyDescent="0.2">
      <c r="A1073" s="55" t="s">
        <v>2450</v>
      </c>
      <c r="B1073" s="55" t="s">
        <v>2450</v>
      </c>
      <c r="C1073" t="s">
        <v>2451</v>
      </c>
      <c r="D1073" t="s">
        <v>2441</v>
      </c>
      <c r="E1073" t="s">
        <v>3485</v>
      </c>
    </row>
    <row r="1074" spans="1:5" ht="15" customHeight="1" x14ac:dyDescent="0.2">
      <c r="A1074" s="55" t="s">
        <v>2452</v>
      </c>
      <c r="B1074" s="55" t="s">
        <v>2452</v>
      </c>
      <c r="C1074" t="s">
        <v>2453</v>
      </c>
      <c r="D1074" t="s">
        <v>2441</v>
      </c>
      <c r="E1074" t="s">
        <v>3485</v>
      </c>
    </row>
    <row r="1075" spans="1:5" ht="15" customHeight="1" x14ac:dyDescent="0.2">
      <c r="A1075" s="55" t="s">
        <v>2454</v>
      </c>
      <c r="B1075" s="55" t="s">
        <v>2454</v>
      </c>
      <c r="C1075" t="s">
        <v>2455</v>
      </c>
      <c r="D1075" t="s">
        <v>2441</v>
      </c>
      <c r="E1075" t="s">
        <v>3485</v>
      </c>
    </row>
    <row r="1076" spans="1:5" ht="15" customHeight="1" x14ac:dyDescent="0.2">
      <c r="A1076" s="55" t="s">
        <v>2456</v>
      </c>
      <c r="B1076" s="55" t="s">
        <v>2456</v>
      </c>
      <c r="C1076" t="s">
        <v>2457</v>
      </c>
      <c r="D1076" t="s">
        <v>2441</v>
      </c>
      <c r="E1076" t="s">
        <v>3485</v>
      </c>
    </row>
    <row r="1077" spans="1:5" ht="15" customHeight="1" x14ac:dyDescent="0.2">
      <c r="A1077" s="55" t="s">
        <v>2458</v>
      </c>
      <c r="B1077" s="55" t="s">
        <v>2458</v>
      </c>
      <c r="C1077" t="s">
        <v>2459</v>
      </c>
      <c r="D1077" t="s">
        <v>2441</v>
      </c>
      <c r="E1077" t="s">
        <v>3485</v>
      </c>
    </row>
    <row r="1078" spans="1:5" ht="15" customHeight="1" x14ac:dyDescent="0.2">
      <c r="A1078" s="55" t="s">
        <v>2460</v>
      </c>
      <c r="B1078" s="55" t="s">
        <v>2460</v>
      </c>
      <c r="C1078" t="s">
        <v>2461</v>
      </c>
      <c r="D1078" t="s">
        <v>2441</v>
      </c>
      <c r="E1078" t="s">
        <v>3485</v>
      </c>
    </row>
    <row r="1079" spans="1:5" ht="15" customHeight="1" x14ac:dyDescent="0.2">
      <c r="A1079" s="55" t="s">
        <v>2462</v>
      </c>
      <c r="B1079" s="55" t="s">
        <v>2462</v>
      </c>
      <c r="C1079" t="s">
        <v>2463</v>
      </c>
      <c r="D1079" t="s">
        <v>2464</v>
      </c>
      <c r="E1079" t="s">
        <v>3485</v>
      </c>
    </row>
    <row r="1080" spans="1:5" ht="15" customHeight="1" x14ac:dyDescent="0.2">
      <c r="A1080" s="55" t="s">
        <v>2465</v>
      </c>
      <c r="B1080" s="55" t="s">
        <v>2465</v>
      </c>
      <c r="C1080" t="s">
        <v>2466</v>
      </c>
      <c r="D1080" t="s">
        <v>2464</v>
      </c>
      <c r="E1080" t="s">
        <v>3485</v>
      </c>
    </row>
    <row r="1081" spans="1:5" ht="15" customHeight="1" x14ac:dyDescent="0.2">
      <c r="A1081" s="55" t="s">
        <v>2467</v>
      </c>
      <c r="B1081" s="55" t="s">
        <v>2467</v>
      </c>
      <c r="C1081" t="s">
        <v>2468</v>
      </c>
      <c r="D1081" t="s">
        <v>2464</v>
      </c>
      <c r="E1081" t="s">
        <v>3485</v>
      </c>
    </row>
    <row r="1082" spans="1:5" ht="15" customHeight="1" x14ac:dyDescent="0.2">
      <c r="A1082" s="55" t="s">
        <v>2469</v>
      </c>
      <c r="B1082" s="55" t="s">
        <v>2469</v>
      </c>
      <c r="C1082" t="s">
        <v>2470</v>
      </c>
      <c r="D1082" t="s">
        <v>2464</v>
      </c>
      <c r="E1082" t="s">
        <v>3485</v>
      </c>
    </row>
    <row r="1083" spans="1:5" ht="15" customHeight="1" x14ac:dyDescent="0.2">
      <c r="A1083" s="55" t="s">
        <v>2697</v>
      </c>
      <c r="B1083" s="55" t="s">
        <v>2698</v>
      </c>
      <c r="C1083" t="s">
        <v>2699</v>
      </c>
      <c r="D1083" t="s">
        <v>2438</v>
      </c>
      <c r="E1083" t="s">
        <v>3485</v>
      </c>
    </row>
    <row r="1084" spans="1:5" ht="15" customHeight="1" x14ac:dyDescent="0.2">
      <c r="A1084" s="55" t="s">
        <v>716</v>
      </c>
      <c r="B1084" s="55" t="s">
        <v>717</v>
      </c>
      <c r="C1084" t="s">
        <v>718</v>
      </c>
      <c r="D1084" t="s">
        <v>2438</v>
      </c>
      <c r="E1084" t="s">
        <v>3485</v>
      </c>
    </row>
    <row r="1085" spans="1:5" ht="15" customHeight="1" x14ac:dyDescent="0.2">
      <c r="A1085" s="55" t="s">
        <v>768</v>
      </c>
      <c r="B1085" s="55" t="s">
        <v>768</v>
      </c>
      <c r="C1085" t="s">
        <v>773</v>
      </c>
      <c r="D1085" t="s">
        <v>2438</v>
      </c>
      <c r="E1085" t="s">
        <v>3485</v>
      </c>
    </row>
    <row r="1086" spans="1:5" ht="15" customHeight="1" x14ac:dyDescent="0.2">
      <c r="A1086" s="55" t="s">
        <v>769</v>
      </c>
      <c r="B1086" s="55" t="s">
        <v>769</v>
      </c>
      <c r="C1086" t="s">
        <v>774</v>
      </c>
      <c r="D1086" t="s">
        <v>2438</v>
      </c>
      <c r="E1086" t="s">
        <v>3485</v>
      </c>
    </row>
    <row r="1087" spans="1:5" ht="15" customHeight="1" x14ac:dyDescent="0.2">
      <c r="A1087" s="55" t="s">
        <v>770</v>
      </c>
      <c r="B1087" s="55" t="s">
        <v>770</v>
      </c>
      <c r="C1087" t="s">
        <v>775</v>
      </c>
      <c r="D1087" t="s">
        <v>2438</v>
      </c>
      <c r="E1087" t="s">
        <v>3485</v>
      </c>
    </row>
    <row r="1088" spans="1:5" ht="15" customHeight="1" x14ac:dyDescent="0.2">
      <c r="A1088" s="55" t="s">
        <v>771</v>
      </c>
      <c r="B1088" s="55" t="s">
        <v>771</v>
      </c>
      <c r="C1088" t="s">
        <v>776</v>
      </c>
      <c r="D1088" t="s">
        <v>2438</v>
      </c>
      <c r="E1088" t="s">
        <v>3485</v>
      </c>
    </row>
    <row r="1089" spans="1:5" ht="15" customHeight="1" x14ac:dyDescent="0.2">
      <c r="A1089" s="55" t="s">
        <v>772</v>
      </c>
      <c r="B1089" s="55" t="s">
        <v>772</v>
      </c>
      <c r="C1089" t="s">
        <v>777</v>
      </c>
      <c r="D1089" t="s">
        <v>2438</v>
      </c>
      <c r="E1089" t="s">
        <v>3485</v>
      </c>
    </row>
    <row r="1090" spans="1:5" ht="15" customHeight="1" x14ac:dyDescent="0.2">
      <c r="A1090" s="55" t="s">
        <v>740</v>
      </c>
      <c r="B1090" s="55" t="s">
        <v>741</v>
      </c>
      <c r="C1090" t="s">
        <v>742</v>
      </c>
      <c r="D1090" t="s">
        <v>2438</v>
      </c>
      <c r="E1090" t="s">
        <v>3485</v>
      </c>
    </row>
    <row r="1091" spans="1:5" ht="15" customHeight="1" x14ac:dyDescent="0.2">
      <c r="A1091" s="55" t="s">
        <v>815</v>
      </c>
      <c r="B1091" s="55" t="s">
        <v>815</v>
      </c>
      <c r="C1091" t="s">
        <v>818</v>
      </c>
      <c r="D1091" t="s">
        <v>2438</v>
      </c>
      <c r="E1091" t="s">
        <v>3485</v>
      </c>
    </row>
    <row r="1092" spans="1:5" ht="15" customHeight="1" x14ac:dyDescent="0.2">
      <c r="A1092" s="55" t="s">
        <v>816</v>
      </c>
      <c r="B1092" s="55" t="s">
        <v>816</v>
      </c>
      <c r="C1092" t="s">
        <v>819</v>
      </c>
      <c r="D1092" t="s">
        <v>2438</v>
      </c>
      <c r="E1092" t="s">
        <v>3485</v>
      </c>
    </row>
    <row r="1093" spans="1:5" ht="15" customHeight="1" x14ac:dyDescent="0.2">
      <c r="A1093" s="55" t="s">
        <v>817</v>
      </c>
      <c r="B1093" s="55" t="s">
        <v>817</v>
      </c>
      <c r="C1093" t="s">
        <v>820</v>
      </c>
      <c r="D1093" t="s">
        <v>2438</v>
      </c>
      <c r="E1093" t="s">
        <v>3485</v>
      </c>
    </row>
    <row r="1094" spans="1:5" ht="15" customHeight="1" x14ac:dyDescent="0.2">
      <c r="A1094" s="55" t="s">
        <v>825</v>
      </c>
      <c r="B1094" s="55" t="s">
        <v>825</v>
      </c>
      <c r="C1094" t="s">
        <v>826</v>
      </c>
      <c r="D1094" t="s">
        <v>2438</v>
      </c>
      <c r="E1094" t="s">
        <v>3485</v>
      </c>
    </row>
    <row r="1095" spans="1:5" ht="15" customHeight="1" x14ac:dyDescent="0.2">
      <c r="A1095" s="55" t="s">
        <v>910</v>
      </c>
      <c r="B1095" s="55" t="s">
        <v>911</v>
      </c>
      <c r="C1095" t="s">
        <v>912</v>
      </c>
      <c r="D1095" t="s">
        <v>2438</v>
      </c>
      <c r="E1095" t="s">
        <v>3485</v>
      </c>
    </row>
    <row r="1096" spans="1:5" ht="15" customHeight="1" x14ac:dyDescent="0.2">
      <c r="A1096" s="55" t="s">
        <v>1348</v>
      </c>
      <c r="B1096" s="55" t="s">
        <v>1348</v>
      </c>
      <c r="C1096" t="s">
        <v>3680</v>
      </c>
      <c r="D1096" t="s">
        <v>2438</v>
      </c>
      <c r="E1096" t="s">
        <v>3485</v>
      </c>
    </row>
    <row r="1097" spans="1:5" ht="15" customHeight="1" x14ac:dyDescent="0.2">
      <c r="A1097" s="55" t="s">
        <v>3594</v>
      </c>
      <c r="B1097" s="55" t="s">
        <v>3595</v>
      </c>
      <c r="C1097" t="s">
        <v>3596</v>
      </c>
      <c r="D1097" t="s">
        <v>2438</v>
      </c>
      <c r="E1097" t="s">
        <v>3485</v>
      </c>
    </row>
    <row r="1098" spans="1:5" ht="15" customHeight="1" x14ac:dyDescent="0.2">
      <c r="A1098" s="55" t="s">
        <v>3685</v>
      </c>
      <c r="B1098" s="55" t="s">
        <v>3685</v>
      </c>
      <c r="C1098" t="s">
        <v>3686</v>
      </c>
      <c r="D1098" t="s">
        <v>2438</v>
      </c>
      <c r="E1098" t="s">
        <v>3485</v>
      </c>
    </row>
    <row r="1099" spans="1:5" ht="15" customHeight="1" x14ac:dyDescent="0.2">
      <c r="A1099" s="27" t="s">
        <v>1738</v>
      </c>
      <c r="B1099" t="s">
        <v>722</v>
      </c>
      <c r="C1099" t="s">
        <v>721</v>
      </c>
      <c r="D1099" t="s">
        <v>3475</v>
      </c>
      <c r="E1099" t="s">
        <v>1737</v>
      </c>
    </row>
    <row r="1100" spans="1:5" ht="15" customHeight="1" x14ac:dyDescent="0.2">
      <c r="A1100" s="27" t="s">
        <v>1740</v>
      </c>
      <c r="B1100" t="s">
        <v>720</v>
      </c>
      <c r="C1100" t="s">
        <v>719</v>
      </c>
      <c r="D1100" t="s">
        <v>3475</v>
      </c>
      <c r="E1100" t="s">
        <v>1737</v>
      </c>
    </row>
    <row r="1101" spans="1:5" ht="15" customHeight="1" x14ac:dyDescent="0.2">
      <c r="A1101" s="27" t="s">
        <v>1741</v>
      </c>
      <c r="B1101" t="s">
        <v>1741</v>
      </c>
      <c r="C1101" t="s">
        <v>1742</v>
      </c>
      <c r="D1101" t="s">
        <v>1739</v>
      </c>
      <c r="E1101" t="s">
        <v>1739</v>
      </c>
    </row>
    <row r="1102" spans="1:5" ht="15" customHeight="1" x14ac:dyDescent="0.2">
      <c r="A1102" s="27" t="s">
        <v>1743</v>
      </c>
      <c r="B1102" t="s">
        <v>1743</v>
      </c>
      <c r="C1102" t="s">
        <v>1744</v>
      </c>
      <c r="D1102" t="s">
        <v>1739</v>
      </c>
      <c r="E1102" t="s">
        <v>1739</v>
      </c>
    </row>
    <row r="1103" spans="1:5" ht="15" customHeight="1" x14ac:dyDescent="0.2">
      <c r="A1103" s="27" t="s">
        <v>1745</v>
      </c>
      <c r="B1103" t="s">
        <v>1745</v>
      </c>
      <c r="C1103" t="s">
        <v>1746</v>
      </c>
      <c r="D1103" t="s">
        <v>1739</v>
      </c>
      <c r="E1103" t="s">
        <v>1739</v>
      </c>
    </row>
    <row r="1104" spans="1:5" ht="15" customHeight="1" x14ac:dyDescent="0.2">
      <c r="A1104" s="27" t="s">
        <v>1747</v>
      </c>
      <c r="B1104" t="s">
        <v>1747</v>
      </c>
      <c r="C1104" t="s">
        <v>1748</v>
      </c>
      <c r="D1104" t="s">
        <v>1739</v>
      </c>
      <c r="E1104" t="s">
        <v>1739</v>
      </c>
    </row>
    <row r="1105" spans="1:5" ht="15" customHeight="1" x14ac:dyDescent="0.2">
      <c r="A1105" s="27" t="s">
        <v>2789</v>
      </c>
      <c r="B1105" t="s">
        <v>2789</v>
      </c>
      <c r="C1105" t="s">
        <v>2790</v>
      </c>
      <c r="D1105" t="s">
        <v>3477</v>
      </c>
      <c r="E1105" t="s">
        <v>3477</v>
      </c>
    </row>
    <row r="1106" spans="1:5" ht="15" customHeight="1" x14ac:dyDescent="0.2">
      <c r="A1106" s="27" t="s">
        <v>2791</v>
      </c>
      <c r="B1106" t="s">
        <v>2791</v>
      </c>
      <c r="C1106" t="s">
        <v>2792</v>
      </c>
      <c r="D1106" t="s">
        <v>3477</v>
      </c>
      <c r="E1106" t="s">
        <v>3477</v>
      </c>
    </row>
    <row r="1107" spans="1:5" ht="15" customHeight="1" x14ac:dyDescent="0.2">
      <c r="A1107" s="27" t="s">
        <v>2793</v>
      </c>
      <c r="B1107" t="s">
        <v>2793</v>
      </c>
      <c r="C1107" t="s">
        <v>2794</v>
      </c>
      <c r="D1107" t="s">
        <v>3477</v>
      </c>
      <c r="E1107" t="s">
        <v>3477</v>
      </c>
    </row>
    <row r="1108" spans="1:5" ht="15" customHeight="1" x14ac:dyDescent="0.2">
      <c r="A1108" s="27" t="s">
        <v>2795</v>
      </c>
      <c r="B1108" t="s">
        <v>2795</v>
      </c>
      <c r="C1108" t="s">
        <v>2796</v>
      </c>
      <c r="D1108" t="s">
        <v>3477</v>
      </c>
      <c r="E1108" t="s">
        <v>3477</v>
      </c>
    </row>
    <row r="1109" spans="1:5" ht="15" customHeight="1" x14ac:dyDescent="0.2">
      <c r="A1109" s="27" t="s">
        <v>2797</v>
      </c>
      <c r="B1109" t="s">
        <v>2797</v>
      </c>
      <c r="C1109" t="s">
        <v>2798</v>
      </c>
      <c r="D1109" t="s">
        <v>3477</v>
      </c>
      <c r="E1109" t="s">
        <v>3477</v>
      </c>
    </row>
    <row r="1110" spans="1:5" ht="15" customHeight="1" x14ac:dyDescent="0.2">
      <c r="A1110" s="27" t="s">
        <v>2799</v>
      </c>
      <c r="B1110" t="s">
        <v>2799</v>
      </c>
      <c r="C1110" t="s">
        <v>2800</v>
      </c>
      <c r="D1110" t="s">
        <v>3477</v>
      </c>
      <c r="E1110" t="s">
        <v>3477</v>
      </c>
    </row>
    <row r="1111" spans="1:5" ht="15" customHeight="1" x14ac:dyDescent="0.2">
      <c r="A1111" s="27" t="s">
        <v>2801</v>
      </c>
      <c r="B1111" t="s">
        <v>2801</v>
      </c>
      <c r="C1111" t="s">
        <v>2802</v>
      </c>
      <c r="D1111" t="s">
        <v>3477</v>
      </c>
      <c r="E1111" t="s">
        <v>3477</v>
      </c>
    </row>
    <row r="1112" spans="1:5" ht="15" customHeight="1" x14ac:dyDescent="0.2">
      <c r="A1112" s="27" t="s">
        <v>2803</v>
      </c>
      <c r="B1112" t="s">
        <v>2803</v>
      </c>
      <c r="C1112" t="s">
        <v>2804</v>
      </c>
      <c r="D1112" t="s">
        <v>3477</v>
      </c>
      <c r="E1112" t="s">
        <v>3477</v>
      </c>
    </row>
    <row r="1113" spans="1:5" ht="15" customHeight="1" x14ac:dyDescent="0.2">
      <c r="A1113" s="27" t="s">
        <v>2805</v>
      </c>
      <c r="B1113" t="s">
        <v>2805</v>
      </c>
      <c r="C1113" t="s">
        <v>2806</v>
      </c>
      <c r="D1113" t="s">
        <v>3477</v>
      </c>
      <c r="E1113" t="s">
        <v>3477</v>
      </c>
    </row>
    <row r="1114" spans="1:5" ht="15" customHeight="1" x14ac:dyDescent="0.2">
      <c r="A1114" s="27" t="s">
        <v>2807</v>
      </c>
      <c r="B1114" t="s">
        <v>2807</v>
      </c>
      <c r="C1114" t="s">
        <v>2808</v>
      </c>
      <c r="D1114" t="s">
        <v>3477</v>
      </c>
      <c r="E1114" t="s">
        <v>3477</v>
      </c>
    </row>
    <row r="1115" spans="1:5" ht="15" customHeight="1" x14ac:dyDescent="0.2">
      <c r="A1115" s="27" t="s">
        <v>2809</v>
      </c>
      <c r="B1115" t="s">
        <v>2809</v>
      </c>
      <c r="C1115" t="s">
        <v>2810</v>
      </c>
      <c r="D1115" t="s">
        <v>3477</v>
      </c>
      <c r="E1115" t="s">
        <v>3477</v>
      </c>
    </row>
    <row r="1116" spans="1:5" ht="15" customHeight="1" x14ac:dyDescent="0.2">
      <c r="A1116" s="27" t="s">
        <v>1358</v>
      </c>
      <c r="B1116" t="s">
        <v>1358</v>
      </c>
      <c r="C1116" t="s">
        <v>1359</v>
      </c>
      <c r="D1116" t="s">
        <v>3477</v>
      </c>
      <c r="E1116" t="s">
        <v>3477</v>
      </c>
    </row>
    <row r="1117" spans="1:5" ht="15" customHeight="1" x14ac:dyDescent="0.2">
      <c r="A1117" s="27" t="s">
        <v>1360</v>
      </c>
      <c r="B1117" t="s">
        <v>1360</v>
      </c>
      <c r="C1117" t="s">
        <v>1361</v>
      </c>
      <c r="D1117" t="s">
        <v>3477</v>
      </c>
      <c r="E1117" t="s">
        <v>3477</v>
      </c>
    </row>
    <row r="1118" spans="1:5" ht="15" customHeight="1" x14ac:dyDescent="0.2">
      <c r="A1118" s="27" t="s">
        <v>1362</v>
      </c>
      <c r="B1118" t="s">
        <v>1362</v>
      </c>
      <c r="C1118" t="s">
        <v>1363</v>
      </c>
      <c r="D1118" t="s">
        <v>3477</v>
      </c>
      <c r="E1118" t="s">
        <v>3477</v>
      </c>
    </row>
    <row r="1119" spans="1:5" ht="15" customHeight="1" x14ac:dyDescent="0.2">
      <c r="A1119" s="27" t="s">
        <v>1364</v>
      </c>
      <c r="B1119" t="s">
        <v>1364</v>
      </c>
      <c r="C1119" t="s">
        <v>1365</v>
      </c>
      <c r="D1119" t="s">
        <v>3477</v>
      </c>
      <c r="E1119" t="s">
        <v>3477</v>
      </c>
    </row>
    <row r="1120" spans="1:5" ht="15" customHeight="1" x14ac:dyDescent="0.2">
      <c r="A1120" s="27" t="s">
        <v>1366</v>
      </c>
      <c r="B1120" t="s">
        <v>1366</v>
      </c>
      <c r="C1120" t="s">
        <v>1367</v>
      </c>
      <c r="D1120" t="s">
        <v>3477</v>
      </c>
      <c r="E1120" t="s">
        <v>3477</v>
      </c>
    </row>
    <row r="1121" spans="1:5" ht="15" customHeight="1" x14ac:dyDescent="0.2">
      <c r="A1121" s="27" t="s">
        <v>1368</v>
      </c>
      <c r="B1121" t="s">
        <v>1368</v>
      </c>
      <c r="C1121" t="s">
        <v>1369</v>
      </c>
      <c r="D1121" t="s">
        <v>3477</v>
      </c>
      <c r="E1121" t="s">
        <v>3477</v>
      </c>
    </row>
    <row r="1122" spans="1:5" ht="15" customHeight="1" x14ac:dyDescent="0.2">
      <c r="A1122" s="27" t="s">
        <v>1370</v>
      </c>
      <c r="B1122" t="s">
        <v>1370</v>
      </c>
      <c r="C1122" t="s">
        <v>1371</v>
      </c>
      <c r="D1122" t="s">
        <v>3477</v>
      </c>
      <c r="E1122" t="s">
        <v>3477</v>
      </c>
    </row>
    <row r="1123" spans="1:5" ht="15" customHeight="1" x14ac:dyDescent="0.2">
      <c r="A1123" s="27" t="s">
        <v>1372</v>
      </c>
      <c r="B1123" t="s">
        <v>1372</v>
      </c>
      <c r="C1123" t="s">
        <v>1373</v>
      </c>
      <c r="D1123" t="s">
        <v>3477</v>
      </c>
      <c r="E1123" t="s">
        <v>3477</v>
      </c>
    </row>
    <row r="1124" spans="1:5" ht="15" customHeight="1" x14ac:dyDescent="0.2">
      <c r="A1124" s="27" t="s">
        <v>1374</v>
      </c>
      <c r="B1124" t="s">
        <v>1374</v>
      </c>
      <c r="C1124" t="s">
        <v>1375</v>
      </c>
      <c r="D1124" t="s">
        <v>3477</v>
      </c>
      <c r="E1124" t="s">
        <v>3477</v>
      </c>
    </row>
    <row r="1125" spans="1:5" ht="15" customHeight="1" x14ac:dyDescent="0.2">
      <c r="A1125" s="27" t="s">
        <v>1376</v>
      </c>
      <c r="B1125" t="s">
        <v>1376</v>
      </c>
      <c r="C1125" t="s">
        <v>1377</v>
      </c>
      <c r="D1125" t="s">
        <v>3477</v>
      </c>
      <c r="E1125" t="s">
        <v>3477</v>
      </c>
    </row>
    <row r="1126" spans="1:5" ht="15" customHeight="1" x14ac:dyDescent="0.2">
      <c r="A1126" s="27" t="s">
        <v>1378</v>
      </c>
      <c r="B1126" t="s">
        <v>1378</v>
      </c>
      <c r="C1126" t="s">
        <v>1379</v>
      </c>
      <c r="D1126" t="s">
        <v>3477</v>
      </c>
      <c r="E1126" t="s">
        <v>3477</v>
      </c>
    </row>
    <row r="1127" spans="1:5" ht="15" customHeight="1" x14ac:dyDescent="0.2">
      <c r="A1127" s="27" t="s">
        <v>1380</v>
      </c>
      <c r="B1127" t="s">
        <v>1380</v>
      </c>
      <c r="C1127" t="s">
        <v>1381</v>
      </c>
      <c r="D1127" t="s">
        <v>3477</v>
      </c>
      <c r="E1127" t="s">
        <v>3477</v>
      </c>
    </row>
    <row r="1128" spans="1:5" ht="15" customHeight="1" x14ac:dyDescent="0.2">
      <c r="A1128" s="27" t="s">
        <v>1382</v>
      </c>
      <c r="B1128" t="s">
        <v>1382</v>
      </c>
      <c r="C1128" t="s">
        <v>1383</v>
      </c>
      <c r="D1128" t="s">
        <v>3477</v>
      </c>
      <c r="E1128" t="s">
        <v>3477</v>
      </c>
    </row>
    <row r="1129" spans="1:5" ht="15" customHeight="1" x14ac:dyDescent="0.2">
      <c r="A1129" s="27" t="s">
        <v>1384</v>
      </c>
      <c r="B1129" t="s">
        <v>1384</v>
      </c>
      <c r="C1129" t="s">
        <v>1385</v>
      </c>
      <c r="D1129" t="s">
        <v>3477</v>
      </c>
      <c r="E1129" t="s">
        <v>3477</v>
      </c>
    </row>
    <row r="1130" spans="1:5" ht="15" customHeight="1" x14ac:dyDescent="0.2">
      <c r="A1130" s="27" t="s">
        <v>1386</v>
      </c>
      <c r="B1130" t="s">
        <v>1386</v>
      </c>
      <c r="C1130" t="s">
        <v>1387</v>
      </c>
      <c r="D1130" t="s">
        <v>3477</v>
      </c>
      <c r="E1130" t="s">
        <v>3477</v>
      </c>
    </row>
    <row r="1131" spans="1:5" ht="15" customHeight="1" x14ac:dyDescent="0.2">
      <c r="A1131" s="27" t="s">
        <v>1388</v>
      </c>
      <c r="B1131" t="s">
        <v>1388</v>
      </c>
      <c r="C1131" t="s">
        <v>1389</v>
      </c>
      <c r="D1131" t="s">
        <v>3477</v>
      </c>
      <c r="E1131" t="s">
        <v>3477</v>
      </c>
    </row>
    <row r="1132" spans="1:5" ht="15" customHeight="1" x14ac:dyDescent="0.2">
      <c r="A1132" s="27" t="s">
        <v>1390</v>
      </c>
      <c r="B1132" t="s">
        <v>1390</v>
      </c>
      <c r="C1132" t="s">
        <v>1391</v>
      </c>
      <c r="D1132" t="s">
        <v>3477</v>
      </c>
      <c r="E1132" t="s">
        <v>3477</v>
      </c>
    </row>
    <row r="1133" spans="1:5" ht="15" customHeight="1" x14ac:dyDescent="0.2">
      <c r="A1133" s="27" t="s">
        <v>1392</v>
      </c>
      <c r="B1133" t="s">
        <v>1392</v>
      </c>
      <c r="C1133" t="s">
        <v>1393</v>
      </c>
      <c r="D1133" t="s">
        <v>3477</v>
      </c>
      <c r="E1133" t="s">
        <v>3477</v>
      </c>
    </row>
    <row r="1134" spans="1:5" ht="15" customHeight="1" x14ac:dyDescent="0.2">
      <c r="A1134" s="27" t="s">
        <v>1394</v>
      </c>
      <c r="B1134" t="s">
        <v>1394</v>
      </c>
      <c r="C1134" t="s">
        <v>1395</v>
      </c>
      <c r="D1134" t="s">
        <v>3477</v>
      </c>
      <c r="E1134" t="s">
        <v>3477</v>
      </c>
    </row>
    <row r="1135" spans="1:5" ht="15" customHeight="1" x14ac:dyDescent="0.2">
      <c r="A1135" s="27" t="s">
        <v>1396</v>
      </c>
      <c r="B1135" t="s">
        <v>1396</v>
      </c>
      <c r="C1135" t="s">
        <v>1397</v>
      </c>
      <c r="D1135" t="s">
        <v>3477</v>
      </c>
      <c r="E1135" t="s">
        <v>3477</v>
      </c>
    </row>
    <row r="1136" spans="1:5" ht="15" customHeight="1" x14ac:dyDescent="0.2">
      <c r="A1136" s="27" t="s">
        <v>1398</v>
      </c>
      <c r="B1136" t="s">
        <v>1398</v>
      </c>
      <c r="C1136" t="s">
        <v>1399</v>
      </c>
      <c r="D1136" t="s">
        <v>3477</v>
      </c>
      <c r="E1136" t="s">
        <v>3477</v>
      </c>
    </row>
    <row r="1137" spans="1:5" ht="15" customHeight="1" x14ac:dyDescent="0.2">
      <c r="A1137" s="27" t="s">
        <v>1400</v>
      </c>
      <c r="B1137" t="s">
        <v>1400</v>
      </c>
      <c r="C1137" t="s">
        <v>1401</v>
      </c>
      <c r="D1137" t="s">
        <v>3477</v>
      </c>
      <c r="E1137" t="s">
        <v>3477</v>
      </c>
    </row>
    <row r="1138" spans="1:5" ht="15" customHeight="1" x14ac:dyDescent="0.2">
      <c r="A1138" s="27" t="s">
        <v>1402</v>
      </c>
      <c r="B1138" t="s">
        <v>1402</v>
      </c>
      <c r="C1138" t="s">
        <v>1403</v>
      </c>
      <c r="D1138" t="s">
        <v>3477</v>
      </c>
      <c r="E1138" t="s">
        <v>3477</v>
      </c>
    </row>
    <row r="1139" spans="1:5" ht="15" customHeight="1" x14ac:dyDescent="0.2">
      <c r="A1139" s="27" t="s">
        <v>1404</v>
      </c>
      <c r="B1139" t="s">
        <v>1404</v>
      </c>
      <c r="C1139" t="s">
        <v>2725</v>
      </c>
      <c r="D1139" t="s">
        <v>3477</v>
      </c>
      <c r="E1139" t="s">
        <v>3477</v>
      </c>
    </row>
    <row r="1140" spans="1:5" ht="15" customHeight="1" x14ac:dyDescent="0.2">
      <c r="A1140" s="27" t="s">
        <v>2726</v>
      </c>
      <c r="B1140" t="s">
        <v>2726</v>
      </c>
      <c r="C1140" t="s">
        <v>2727</v>
      </c>
      <c r="D1140" t="s">
        <v>3477</v>
      </c>
      <c r="E1140" t="s">
        <v>3477</v>
      </c>
    </row>
    <row r="1141" spans="1:5" ht="15" customHeight="1" x14ac:dyDescent="0.2">
      <c r="A1141" s="27" t="s">
        <v>2728</v>
      </c>
      <c r="B1141" t="s">
        <v>2728</v>
      </c>
      <c r="C1141" t="s">
        <v>2729</v>
      </c>
      <c r="D1141" t="s">
        <v>3477</v>
      </c>
      <c r="E1141" t="s">
        <v>3477</v>
      </c>
    </row>
    <row r="1142" spans="1:5" ht="15" customHeight="1" x14ac:dyDescent="0.2">
      <c r="A1142" s="27" t="s">
        <v>2730</v>
      </c>
      <c r="B1142" t="s">
        <v>2730</v>
      </c>
      <c r="C1142" t="s">
        <v>2731</v>
      </c>
      <c r="D1142" t="s">
        <v>3477</v>
      </c>
      <c r="E1142" t="s">
        <v>3477</v>
      </c>
    </row>
    <row r="1143" spans="1:5" ht="15" customHeight="1" x14ac:dyDescent="0.2">
      <c r="A1143" s="27" t="s">
        <v>2732</v>
      </c>
      <c r="B1143" t="s">
        <v>2732</v>
      </c>
      <c r="C1143" t="s">
        <v>2733</v>
      </c>
      <c r="D1143" t="s">
        <v>3477</v>
      </c>
      <c r="E1143" t="s">
        <v>3477</v>
      </c>
    </row>
    <row r="1144" spans="1:5" ht="15" customHeight="1" x14ac:dyDescent="0.2">
      <c r="A1144" s="27" t="s">
        <v>2734</v>
      </c>
      <c r="B1144" t="s">
        <v>2734</v>
      </c>
      <c r="C1144" t="s">
        <v>2735</v>
      </c>
      <c r="D1144" t="s">
        <v>3477</v>
      </c>
      <c r="E1144" t="s">
        <v>3477</v>
      </c>
    </row>
    <row r="1145" spans="1:5" ht="15" customHeight="1" x14ac:dyDescent="0.2">
      <c r="A1145" s="27" t="s">
        <v>2736</v>
      </c>
      <c r="B1145" t="s">
        <v>2736</v>
      </c>
      <c r="C1145" t="s">
        <v>2737</v>
      </c>
      <c r="D1145" t="s">
        <v>3477</v>
      </c>
      <c r="E1145" t="s">
        <v>3477</v>
      </c>
    </row>
    <row r="1146" spans="1:5" ht="15" customHeight="1" x14ac:dyDescent="0.2">
      <c r="A1146" s="27" t="s">
        <v>2738</v>
      </c>
      <c r="B1146" t="s">
        <v>2738</v>
      </c>
      <c r="C1146" t="s">
        <v>2739</v>
      </c>
      <c r="D1146" t="s">
        <v>3477</v>
      </c>
      <c r="E1146" t="s">
        <v>3477</v>
      </c>
    </row>
    <row r="1147" spans="1:5" ht="15" customHeight="1" x14ac:dyDescent="0.2">
      <c r="A1147" s="27" t="s">
        <v>2740</v>
      </c>
      <c r="B1147" t="s">
        <v>2740</v>
      </c>
      <c r="C1147" t="s">
        <v>2741</v>
      </c>
      <c r="D1147" t="s">
        <v>3477</v>
      </c>
      <c r="E1147" t="s">
        <v>3477</v>
      </c>
    </row>
    <row r="1148" spans="1:5" ht="15" customHeight="1" x14ac:dyDescent="0.2">
      <c r="A1148" s="27" t="s">
        <v>2742</v>
      </c>
      <c r="B1148" t="s">
        <v>2742</v>
      </c>
      <c r="C1148" t="s">
        <v>2743</v>
      </c>
      <c r="D1148" t="s">
        <v>3477</v>
      </c>
      <c r="E1148" t="s">
        <v>3477</v>
      </c>
    </row>
    <row r="1149" spans="1:5" ht="15" customHeight="1" x14ac:dyDescent="0.2">
      <c r="A1149" s="27" t="s">
        <v>2744</v>
      </c>
      <c r="B1149" t="s">
        <v>2744</v>
      </c>
      <c r="C1149" t="s">
        <v>2745</v>
      </c>
      <c r="D1149" t="s">
        <v>3477</v>
      </c>
      <c r="E1149" t="s">
        <v>3477</v>
      </c>
    </row>
    <row r="1150" spans="1:5" ht="15" customHeight="1" x14ac:dyDescent="0.2">
      <c r="A1150" s="27" t="s">
        <v>2746</v>
      </c>
      <c r="B1150" t="s">
        <v>2746</v>
      </c>
      <c r="C1150" t="s">
        <v>2747</v>
      </c>
      <c r="D1150" t="s">
        <v>3477</v>
      </c>
      <c r="E1150" t="s">
        <v>3477</v>
      </c>
    </row>
    <row r="1151" spans="1:5" ht="15" customHeight="1" x14ac:dyDescent="0.2">
      <c r="A1151" s="27" t="s">
        <v>2748</v>
      </c>
      <c r="B1151" t="s">
        <v>2748</v>
      </c>
      <c r="C1151" t="s">
        <v>2749</v>
      </c>
      <c r="D1151" t="s">
        <v>3477</v>
      </c>
      <c r="E1151" t="s">
        <v>3477</v>
      </c>
    </row>
    <row r="1152" spans="1:5" ht="15" customHeight="1" x14ac:dyDescent="0.2">
      <c r="A1152" s="27" t="s">
        <v>2750</v>
      </c>
      <c r="B1152" t="s">
        <v>2750</v>
      </c>
      <c r="C1152" t="s">
        <v>2751</v>
      </c>
      <c r="D1152" t="s">
        <v>3477</v>
      </c>
      <c r="E1152" t="s">
        <v>3477</v>
      </c>
    </row>
    <row r="1153" spans="1:5" ht="15" customHeight="1" x14ac:dyDescent="0.2">
      <c r="A1153" s="27" t="s">
        <v>2752</v>
      </c>
      <c r="B1153" t="s">
        <v>2752</v>
      </c>
      <c r="C1153" t="s">
        <v>2753</v>
      </c>
      <c r="D1153" t="s">
        <v>3477</v>
      </c>
      <c r="E1153" t="s">
        <v>3477</v>
      </c>
    </row>
    <row r="1154" spans="1:5" ht="15" customHeight="1" x14ac:dyDescent="0.2">
      <c r="A1154" s="27" t="s">
        <v>2754</v>
      </c>
      <c r="B1154" t="s">
        <v>2754</v>
      </c>
      <c r="C1154" t="s">
        <v>2755</v>
      </c>
      <c r="D1154" t="s">
        <v>3477</v>
      </c>
      <c r="E1154" t="s">
        <v>3477</v>
      </c>
    </row>
    <row r="1155" spans="1:5" ht="15" customHeight="1" x14ac:dyDescent="0.2">
      <c r="A1155" s="27" t="s">
        <v>2756</v>
      </c>
      <c r="B1155" t="s">
        <v>2756</v>
      </c>
      <c r="C1155" t="s">
        <v>2757</v>
      </c>
      <c r="D1155" t="s">
        <v>3477</v>
      </c>
      <c r="E1155" t="s">
        <v>3477</v>
      </c>
    </row>
    <row r="1156" spans="1:5" ht="15" customHeight="1" x14ac:dyDescent="0.2">
      <c r="A1156" s="27" t="s">
        <v>2758</v>
      </c>
      <c r="B1156" t="s">
        <v>2758</v>
      </c>
      <c r="C1156" t="s">
        <v>2759</v>
      </c>
      <c r="D1156" t="s">
        <v>3477</v>
      </c>
      <c r="E1156" t="s">
        <v>3477</v>
      </c>
    </row>
    <row r="1157" spans="1:5" ht="15" customHeight="1" x14ac:dyDescent="0.2">
      <c r="A1157" s="27" t="s">
        <v>2760</v>
      </c>
      <c r="B1157" t="s">
        <v>2760</v>
      </c>
      <c r="C1157" t="s">
        <v>2761</v>
      </c>
      <c r="D1157" t="s">
        <v>3477</v>
      </c>
      <c r="E1157" t="s">
        <v>3477</v>
      </c>
    </row>
    <row r="1158" spans="1:5" ht="15" customHeight="1" x14ac:dyDescent="0.2">
      <c r="A1158" s="27" t="s">
        <v>2762</v>
      </c>
      <c r="B1158" t="s">
        <v>2762</v>
      </c>
      <c r="C1158" t="s">
        <v>2763</v>
      </c>
      <c r="D1158" t="s">
        <v>3477</v>
      </c>
      <c r="E1158" t="s">
        <v>3477</v>
      </c>
    </row>
    <row r="1159" spans="1:5" ht="15" customHeight="1" x14ac:dyDescent="0.2">
      <c r="A1159" s="27" t="s">
        <v>2764</v>
      </c>
      <c r="B1159" t="s">
        <v>2764</v>
      </c>
      <c r="C1159" t="s">
        <v>2765</v>
      </c>
      <c r="D1159" t="s">
        <v>3477</v>
      </c>
      <c r="E1159" t="s">
        <v>3477</v>
      </c>
    </row>
    <row r="1160" spans="1:5" ht="15" customHeight="1" x14ac:dyDescent="0.2">
      <c r="A1160" s="27" t="s">
        <v>2766</v>
      </c>
      <c r="B1160" t="s">
        <v>2766</v>
      </c>
      <c r="C1160" t="s">
        <v>2767</v>
      </c>
      <c r="D1160" t="s">
        <v>3477</v>
      </c>
      <c r="E1160" t="s">
        <v>3477</v>
      </c>
    </row>
    <row r="1161" spans="1:5" ht="15" customHeight="1" x14ac:dyDescent="0.2">
      <c r="A1161" s="27" t="s">
        <v>2768</v>
      </c>
      <c r="B1161" t="s">
        <v>2768</v>
      </c>
      <c r="C1161" t="s">
        <v>2769</v>
      </c>
      <c r="D1161" t="s">
        <v>3477</v>
      </c>
      <c r="E1161" t="s">
        <v>3477</v>
      </c>
    </row>
    <row r="1162" spans="1:5" ht="15" customHeight="1" x14ac:dyDescent="0.2">
      <c r="A1162" s="27" t="s">
        <v>2770</v>
      </c>
      <c r="B1162" t="s">
        <v>2770</v>
      </c>
      <c r="C1162" t="s">
        <v>2771</v>
      </c>
      <c r="D1162" t="s">
        <v>3477</v>
      </c>
      <c r="E1162" t="s">
        <v>3477</v>
      </c>
    </row>
    <row r="1163" spans="1:5" ht="15" customHeight="1" x14ac:dyDescent="0.2">
      <c r="A1163" s="27" t="s">
        <v>2772</v>
      </c>
      <c r="B1163" t="s">
        <v>2772</v>
      </c>
      <c r="C1163" t="s">
        <v>2773</v>
      </c>
      <c r="D1163" t="s">
        <v>3477</v>
      </c>
      <c r="E1163" t="s">
        <v>3477</v>
      </c>
    </row>
    <row r="1164" spans="1:5" ht="15" customHeight="1" x14ac:dyDescent="0.2">
      <c r="A1164" s="27" t="s">
        <v>2774</v>
      </c>
      <c r="B1164" t="s">
        <v>2774</v>
      </c>
      <c r="C1164" t="s">
        <v>2775</v>
      </c>
      <c r="D1164" t="s">
        <v>3477</v>
      </c>
      <c r="E1164" t="s">
        <v>3477</v>
      </c>
    </row>
    <row r="1165" spans="1:5" ht="15" customHeight="1" x14ac:dyDescent="0.2">
      <c r="A1165" s="27" t="s">
        <v>2776</v>
      </c>
      <c r="B1165" t="s">
        <v>2776</v>
      </c>
      <c r="C1165" t="s">
        <v>2777</v>
      </c>
      <c r="D1165" t="s">
        <v>3477</v>
      </c>
      <c r="E1165" t="s">
        <v>3477</v>
      </c>
    </row>
    <row r="1166" spans="1:5" ht="15" customHeight="1" x14ac:dyDescent="0.2">
      <c r="A1166" s="27" t="s">
        <v>2778</v>
      </c>
      <c r="B1166" t="s">
        <v>2778</v>
      </c>
      <c r="C1166" t="s">
        <v>2779</v>
      </c>
      <c r="D1166" t="s">
        <v>3477</v>
      </c>
      <c r="E1166" t="s">
        <v>3477</v>
      </c>
    </row>
    <row r="1167" spans="1:5" ht="15" customHeight="1" x14ac:dyDescent="0.2">
      <c r="A1167" s="27" t="s">
        <v>2780</v>
      </c>
      <c r="B1167" t="s">
        <v>2780</v>
      </c>
      <c r="C1167" t="s">
        <v>232</v>
      </c>
      <c r="D1167" t="s">
        <v>3477</v>
      </c>
      <c r="E1167" t="s">
        <v>3477</v>
      </c>
    </row>
    <row r="1168" spans="1:5" ht="15" customHeight="1" x14ac:dyDescent="0.2">
      <c r="A1168" s="27" t="s">
        <v>2781</v>
      </c>
      <c r="B1168" t="s">
        <v>2781</v>
      </c>
      <c r="C1168" t="s">
        <v>2782</v>
      </c>
      <c r="D1168" t="s">
        <v>3477</v>
      </c>
      <c r="E1168" t="s">
        <v>3477</v>
      </c>
    </row>
    <row r="1169" spans="1:5" ht="15" customHeight="1" x14ac:dyDescent="0.2">
      <c r="A1169" s="27" t="s">
        <v>2783</v>
      </c>
      <c r="B1169" t="s">
        <v>2783</v>
      </c>
      <c r="C1169" t="s">
        <v>2784</v>
      </c>
      <c r="D1169" t="s">
        <v>3477</v>
      </c>
      <c r="E1169" t="s">
        <v>3477</v>
      </c>
    </row>
    <row r="1170" spans="1:5" ht="15" customHeight="1" x14ac:dyDescent="0.2">
      <c r="A1170" s="27" t="s">
        <v>2785</v>
      </c>
      <c r="B1170" t="s">
        <v>2785</v>
      </c>
      <c r="C1170" t="s">
        <v>2786</v>
      </c>
      <c r="D1170" t="s">
        <v>3477</v>
      </c>
      <c r="E1170" t="s">
        <v>3477</v>
      </c>
    </row>
    <row r="1171" spans="1:5" ht="15" customHeight="1" x14ac:dyDescent="0.2">
      <c r="A1171" s="27" t="s">
        <v>2787</v>
      </c>
      <c r="B1171" t="s">
        <v>2787</v>
      </c>
      <c r="C1171" t="s">
        <v>2788</v>
      </c>
      <c r="D1171" t="s">
        <v>3477</v>
      </c>
      <c r="E1171" t="s">
        <v>3477</v>
      </c>
    </row>
    <row r="1172" spans="1:5" ht="15" customHeight="1" x14ac:dyDescent="0.2">
      <c r="A1172" s="27" t="s">
        <v>1352</v>
      </c>
      <c r="B1172" t="s">
        <v>1352</v>
      </c>
      <c r="C1172" t="s">
        <v>1353</v>
      </c>
      <c r="D1172" t="s">
        <v>3477</v>
      </c>
      <c r="E1172" t="s">
        <v>3477</v>
      </c>
    </row>
    <row r="1173" spans="1:5" ht="15" customHeight="1" x14ac:dyDescent="0.2">
      <c r="A1173" s="27" t="s">
        <v>1354</v>
      </c>
      <c r="B1173" t="s">
        <v>1354</v>
      </c>
      <c r="C1173" t="s">
        <v>1355</v>
      </c>
      <c r="D1173" t="s">
        <v>3477</v>
      </c>
      <c r="E1173" t="s">
        <v>3477</v>
      </c>
    </row>
    <row r="1174" spans="1:5" ht="15" customHeight="1" x14ac:dyDescent="0.2">
      <c r="A1174" s="27" t="s">
        <v>1356</v>
      </c>
      <c r="B1174" t="s">
        <v>1356</v>
      </c>
      <c r="C1174" t="s">
        <v>1357</v>
      </c>
      <c r="D1174" t="s">
        <v>3477</v>
      </c>
      <c r="E1174" t="s">
        <v>3477</v>
      </c>
    </row>
    <row r="1175" spans="1:5" ht="15" customHeight="1" x14ac:dyDescent="0.2">
      <c r="A1175" s="27" t="s">
        <v>156</v>
      </c>
      <c r="B1175" t="s">
        <v>157</v>
      </c>
      <c r="C1175" t="s">
        <v>158</v>
      </c>
      <c r="D1175" t="s">
        <v>3477</v>
      </c>
      <c r="E1175" t="s">
        <v>3477</v>
      </c>
    </row>
    <row r="1176" spans="1:5" ht="15" customHeight="1" x14ac:dyDescent="0.2">
      <c r="A1176" s="27" t="s">
        <v>181</v>
      </c>
      <c r="B1176" s="27" t="s">
        <v>181</v>
      </c>
      <c r="C1176" t="s">
        <v>182</v>
      </c>
      <c r="D1176" t="s">
        <v>3477</v>
      </c>
      <c r="E1176" t="s">
        <v>3477</v>
      </c>
    </row>
    <row r="1177" spans="1:5" ht="15" customHeight="1" x14ac:dyDescent="0.2">
      <c r="A1177" s="27" t="s">
        <v>230</v>
      </c>
      <c r="B1177" s="27" t="s">
        <v>230</v>
      </c>
      <c r="C1177" t="s">
        <v>231</v>
      </c>
      <c r="D1177" t="s">
        <v>3477</v>
      </c>
      <c r="E1177" t="s">
        <v>3477</v>
      </c>
    </row>
    <row r="1178" spans="1:5" ht="15" customHeight="1" x14ac:dyDescent="0.2">
      <c r="A1178" s="27" t="s">
        <v>234</v>
      </c>
      <c r="B1178" s="27" t="s">
        <v>234</v>
      </c>
      <c r="C1178" t="s">
        <v>237</v>
      </c>
      <c r="D1178" t="s">
        <v>3477</v>
      </c>
      <c r="E1178" t="s">
        <v>3477</v>
      </c>
    </row>
    <row r="1179" spans="1:5" ht="15" customHeight="1" x14ac:dyDescent="0.2">
      <c r="A1179" s="27" t="s">
        <v>236</v>
      </c>
      <c r="B1179" s="27" t="s">
        <v>236</v>
      </c>
      <c r="C1179" t="s">
        <v>238</v>
      </c>
      <c r="D1179" t="s">
        <v>3477</v>
      </c>
      <c r="E1179" t="s">
        <v>3477</v>
      </c>
    </row>
    <row r="1180" spans="1:5" s="56" customFormat="1" ht="15" customHeight="1" x14ac:dyDescent="0.2">
      <c r="A1180" s="60">
        <v>10075</v>
      </c>
      <c r="B1180" s="60">
        <v>10075</v>
      </c>
      <c r="C1180" s="57" t="s">
        <v>2478</v>
      </c>
      <c r="D1180" t="s">
        <v>3477</v>
      </c>
      <c r="E1180" t="s">
        <v>3477</v>
      </c>
    </row>
    <row r="1181" spans="1:5" ht="15" customHeight="1" x14ac:dyDescent="0.2">
      <c r="A1181" s="27">
        <v>10126</v>
      </c>
      <c r="B1181" s="27">
        <v>10126</v>
      </c>
      <c r="C1181" t="s">
        <v>2479</v>
      </c>
      <c r="D1181" t="s">
        <v>3477</v>
      </c>
      <c r="E1181" t="s">
        <v>3477</v>
      </c>
    </row>
    <row r="1182" spans="1:5" ht="15" customHeight="1" x14ac:dyDescent="0.2">
      <c r="A1182" s="61">
        <v>11016</v>
      </c>
      <c r="B1182" s="61">
        <v>11016</v>
      </c>
      <c r="C1182" s="58" t="s">
        <v>2480</v>
      </c>
      <c r="D1182" t="s">
        <v>3477</v>
      </c>
      <c r="E1182" t="s">
        <v>3477</v>
      </c>
    </row>
    <row r="1183" spans="1:5" ht="15" customHeight="1" x14ac:dyDescent="0.2">
      <c r="A1183" s="62">
        <v>11366</v>
      </c>
      <c r="B1183" s="62">
        <v>11366</v>
      </c>
      <c r="C1183" s="54" t="s">
        <v>2481</v>
      </c>
      <c r="D1183" t="s">
        <v>3477</v>
      </c>
      <c r="E1183" t="s">
        <v>3477</v>
      </c>
    </row>
    <row r="1184" spans="1:5" ht="15" customHeight="1" x14ac:dyDescent="0.2">
      <c r="A1184" s="62">
        <v>12247</v>
      </c>
      <c r="B1184" s="62">
        <v>12247</v>
      </c>
      <c r="C1184" s="54" t="s">
        <v>2482</v>
      </c>
      <c r="D1184" t="s">
        <v>3477</v>
      </c>
      <c r="E1184" t="s">
        <v>3477</v>
      </c>
    </row>
    <row r="1185" spans="1:5" ht="15" customHeight="1" x14ac:dyDescent="0.2">
      <c r="A1185" s="62">
        <v>12284</v>
      </c>
      <c r="B1185" s="62">
        <v>12284</v>
      </c>
      <c r="C1185" s="54" t="s">
        <v>2483</v>
      </c>
      <c r="D1185" t="s">
        <v>3477</v>
      </c>
      <c r="E1185" t="s">
        <v>3477</v>
      </c>
    </row>
    <row r="1186" spans="1:5" ht="15" customHeight="1" x14ac:dyDescent="0.2">
      <c r="A1186" s="54" t="s">
        <v>2670</v>
      </c>
      <c r="B1186" s="54" t="s">
        <v>2484</v>
      </c>
      <c r="C1186" s="54" t="s">
        <v>2485</v>
      </c>
      <c r="D1186" t="s">
        <v>3477</v>
      </c>
      <c r="E1186" t="s">
        <v>3477</v>
      </c>
    </row>
    <row r="1187" spans="1:5" ht="15" customHeight="1" x14ac:dyDescent="0.2">
      <c r="A1187" s="54" t="s">
        <v>2486</v>
      </c>
      <c r="B1187" s="54" t="s">
        <v>2486</v>
      </c>
      <c r="C1187" s="54" t="s">
        <v>2485</v>
      </c>
      <c r="D1187" t="s">
        <v>3477</v>
      </c>
      <c r="E1187" t="s">
        <v>3477</v>
      </c>
    </row>
    <row r="1188" spans="1:5" ht="15" customHeight="1" x14ac:dyDescent="0.2">
      <c r="A1188" s="54" t="s">
        <v>2487</v>
      </c>
      <c r="B1188" s="54" t="s">
        <v>2487</v>
      </c>
      <c r="C1188" s="54" t="s">
        <v>2488</v>
      </c>
      <c r="D1188" t="s">
        <v>3477</v>
      </c>
      <c r="E1188" t="s">
        <v>3477</v>
      </c>
    </row>
    <row r="1189" spans="1:5" ht="15" customHeight="1" x14ac:dyDescent="0.2">
      <c r="A1189" s="54" t="s">
        <v>2489</v>
      </c>
      <c r="B1189" s="54" t="s">
        <v>2489</v>
      </c>
      <c r="C1189" s="54" t="s">
        <v>2490</v>
      </c>
      <c r="D1189" t="s">
        <v>3477</v>
      </c>
      <c r="E1189" t="s">
        <v>3477</v>
      </c>
    </row>
    <row r="1190" spans="1:5" ht="15" customHeight="1" x14ac:dyDescent="0.2">
      <c r="A1190" s="54" t="s">
        <v>2491</v>
      </c>
      <c r="B1190" s="54" t="s">
        <v>2491</v>
      </c>
      <c r="C1190" s="54" t="s">
        <v>2492</v>
      </c>
      <c r="D1190" t="s">
        <v>3477</v>
      </c>
      <c r="E1190" t="s">
        <v>3477</v>
      </c>
    </row>
    <row r="1191" spans="1:5" ht="15" customHeight="1" x14ac:dyDescent="0.2">
      <c r="A1191" s="54" t="s">
        <v>2493</v>
      </c>
      <c r="B1191" s="54" t="s">
        <v>2493</v>
      </c>
      <c r="C1191" s="54" t="s">
        <v>2494</v>
      </c>
      <c r="D1191" t="s">
        <v>3477</v>
      </c>
      <c r="E1191" t="s">
        <v>3477</v>
      </c>
    </row>
    <row r="1192" spans="1:5" ht="15" customHeight="1" x14ac:dyDescent="0.2">
      <c r="A1192" s="54" t="s">
        <v>2495</v>
      </c>
      <c r="B1192" s="54" t="s">
        <v>2495</v>
      </c>
      <c r="C1192" s="54" t="s">
        <v>2496</v>
      </c>
      <c r="D1192" t="s">
        <v>3477</v>
      </c>
      <c r="E1192" t="s">
        <v>3477</v>
      </c>
    </row>
    <row r="1193" spans="1:5" ht="15" customHeight="1" x14ac:dyDescent="0.2">
      <c r="A1193" s="54" t="s">
        <v>2497</v>
      </c>
      <c r="B1193" s="54" t="s">
        <v>2497</v>
      </c>
      <c r="C1193" s="54" t="s">
        <v>2498</v>
      </c>
      <c r="D1193" t="s">
        <v>3477</v>
      </c>
      <c r="E1193" t="s">
        <v>3477</v>
      </c>
    </row>
    <row r="1194" spans="1:5" ht="15" customHeight="1" x14ac:dyDescent="0.2">
      <c r="A1194" s="54" t="s">
        <v>2499</v>
      </c>
      <c r="B1194" s="54" t="s">
        <v>2499</v>
      </c>
      <c r="C1194" s="54" t="s">
        <v>2500</v>
      </c>
      <c r="D1194" t="s">
        <v>3477</v>
      </c>
      <c r="E1194" t="s">
        <v>3477</v>
      </c>
    </row>
    <row r="1195" spans="1:5" ht="15" customHeight="1" x14ac:dyDescent="0.2">
      <c r="A1195" s="54" t="s">
        <v>2501</v>
      </c>
      <c r="B1195" s="54" t="s">
        <v>2501</v>
      </c>
      <c r="C1195" s="54" t="s">
        <v>2502</v>
      </c>
      <c r="D1195" t="s">
        <v>3477</v>
      </c>
      <c r="E1195" t="s">
        <v>3477</v>
      </c>
    </row>
    <row r="1196" spans="1:5" ht="15" customHeight="1" x14ac:dyDescent="0.2">
      <c r="A1196" s="54" t="s">
        <v>2503</v>
      </c>
      <c r="B1196" s="54" t="s">
        <v>2503</v>
      </c>
      <c r="C1196" s="54" t="s">
        <v>2504</v>
      </c>
      <c r="D1196" t="s">
        <v>3477</v>
      </c>
      <c r="E1196" t="s">
        <v>3477</v>
      </c>
    </row>
    <row r="1197" spans="1:5" ht="15" customHeight="1" x14ac:dyDescent="0.2">
      <c r="A1197" s="54" t="s">
        <v>2505</v>
      </c>
      <c r="B1197" s="54" t="s">
        <v>2505</v>
      </c>
      <c r="C1197" s="54" t="s">
        <v>2502</v>
      </c>
      <c r="D1197" t="s">
        <v>3477</v>
      </c>
      <c r="E1197" t="s">
        <v>3477</v>
      </c>
    </row>
    <row r="1198" spans="1:5" ht="15" customHeight="1" x14ac:dyDescent="0.2">
      <c r="A1198" s="54" t="s">
        <v>2506</v>
      </c>
      <c r="B1198" s="54" t="s">
        <v>2506</v>
      </c>
      <c r="C1198" s="54" t="s">
        <v>2504</v>
      </c>
      <c r="D1198" t="s">
        <v>3477</v>
      </c>
      <c r="E1198" t="s">
        <v>3477</v>
      </c>
    </row>
    <row r="1199" spans="1:5" ht="15" customHeight="1" x14ac:dyDescent="0.2">
      <c r="A1199" s="54" t="s">
        <v>2507</v>
      </c>
      <c r="B1199" s="54" t="s">
        <v>2507</v>
      </c>
      <c r="C1199" s="54" t="s">
        <v>2502</v>
      </c>
      <c r="D1199" t="s">
        <v>3477</v>
      </c>
      <c r="E1199" t="s">
        <v>3477</v>
      </c>
    </row>
    <row r="1200" spans="1:5" ht="15" customHeight="1" x14ac:dyDescent="0.2">
      <c r="A1200" s="54" t="s">
        <v>2508</v>
      </c>
      <c r="B1200" s="54" t="s">
        <v>2508</v>
      </c>
      <c r="C1200" s="54" t="s">
        <v>2504</v>
      </c>
      <c r="D1200" t="s">
        <v>3477</v>
      </c>
      <c r="E1200" t="s">
        <v>3477</v>
      </c>
    </row>
    <row r="1201" spans="1:5" ht="15" customHeight="1" x14ac:dyDescent="0.2">
      <c r="A1201" s="54" t="s">
        <v>2509</v>
      </c>
      <c r="B1201" s="54" t="s">
        <v>2509</v>
      </c>
      <c r="C1201" s="54" t="s">
        <v>2392</v>
      </c>
      <c r="D1201" t="s">
        <v>3477</v>
      </c>
      <c r="E1201" t="s">
        <v>3477</v>
      </c>
    </row>
    <row r="1202" spans="1:5" ht="15" customHeight="1" x14ac:dyDescent="0.2">
      <c r="A1202" s="54" t="s">
        <v>2510</v>
      </c>
      <c r="B1202" s="54" t="s">
        <v>2510</v>
      </c>
      <c r="C1202" s="54" t="s">
        <v>2392</v>
      </c>
      <c r="D1202" t="s">
        <v>3477</v>
      </c>
      <c r="E1202" t="s">
        <v>3477</v>
      </c>
    </row>
    <row r="1203" spans="1:5" ht="15" customHeight="1" x14ac:dyDescent="0.2">
      <c r="A1203" s="54" t="s">
        <v>2511</v>
      </c>
      <c r="B1203" s="54" t="s">
        <v>2511</v>
      </c>
      <c r="C1203" s="54" t="s">
        <v>2392</v>
      </c>
      <c r="D1203" t="s">
        <v>3477</v>
      </c>
      <c r="E1203" t="s">
        <v>3477</v>
      </c>
    </row>
    <row r="1204" spans="1:5" ht="15" customHeight="1" x14ac:dyDescent="0.2">
      <c r="A1204" s="54" t="s">
        <v>2512</v>
      </c>
      <c r="B1204" s="54" t="s">
        <v>2512</v>
      </c>
      <c r="C1204" s="54" t="s">
        <v>2392</v>
      </c>
      <c r="D1204" t="s">
        <v>3477</v>
      </c>
      <c r="E1204" t="s">
        <v>3477</v>
      </c>
    </row>
    <row r="1205" spans="1:5" ht="15" customHeight="1" x14ac:dyDescent="0.2">
      <c r="A1205" s="54" t="s">
        <v>2513</v>
      </c>
      <c r="B1205" s="54" t="s">
        <v>2513</v>
      </c>
      <c r="C1205" s="54" t="s">
        <v>2392</v>
      </c>
      <c r="D1205" t="s">
        <v>3477</v>
      </c>
      <c r="E1205" t="s">
        <v>3477</v>
      </c>
    </row>
    <row r="1206" spans="1:5" ht="15" customHeight="1" x14ac:dyDescent="0.2">
      <c r="A1206" s="54" t="s">
        <v>2514</v>
      </c>
      <c r="B1206" s="54" t="s">
        <v>2514</v>
      </c>
      <c r="C1206" s="54" t="s">
        <v>2515</v>
      </c>
      <c r="D1206" t="s">
        <v>3477</v>
      </c>
      <c r="E1206" t="s">
        <v>3477</v>
      </c>
    </row>
    <row r="1207" spans="1:5" ht="15" customHeight="1" x14ac:dyDescent="0.2">
      <c r="A1207" s="54" t="s">
        <v>2516</v>
      </c>
      <c r="B1207" s="54" t="s">
        <v>2516</v>
      </c>
      <c r="C1207" s="54" t="s">
        <v>2517</v>
      </c>
      <c r="D1207" t="s">
        <v>3477</v>
      </c>
      <c r="E1207" t="s">
        <v>3477</v>
      </c>
    </row>
    <row r="1208" spans="1:5" ht="15" customHeight="1" x14ac:dyDescent="0.2">
      <c r="A1208" s="54" t="s">
        <v>2518</v>
      </c>
      <c r="B1208" s="54" t="s">
        <v>2518</v>
      </c>
      <c r="C1208" s="54" t="s">
        <v>2519</v>
      </c>
      <c r="D1208" t="s">
        <v>3477</v>
      </c>
      <c r="E1208" t="s">
        <v>3477</v>
      </c>
    </row>
    <row r="1209" spans="1:5" ht="15" customHeight="1" x14ac:dyDescent="0.2">
      <c r="A1209" s="54" t="s">
        <v>2520</v>
      </c>
      <c r="B1209" s="54" t="s">
        <v>2520</v>
      </c>
      <c r="C1209" s="54" t="s">
        <v>2519</v>
      </c>
      <c r="D1209" t="s">
        <v>3477</v>
      </c>
      <c r="E1209" t="s">
        <v>3477</v>
      </c>
    </row>
    <row r="1210" spans="1:5" ht="15" customHeight="1" x14ac:dyDescent="0.2">
      <c r="A1210" s="54" t="s">
        <v>2521</v>
      </c>
      <c r="B1210" s="54" t="s">
        <v>2521</v>
      </c>
      <c r="C1210" s="54" t="s">
        <v>2496</v>
      </c>
      <c r="D1210" t="s">
        <v>3477</v>
      </c>
      <c r="E1210" t="s">
        <v>3477</v>
      </c>
    </row>
    <row r="1211" spans="1:5" ht="15" customHeight="1" x14ac:dyDescent="0.2">
      <c r="A1211" s="54" t="s">
        <v>2522</v>
      </c>
      <c r="B1211" s="54" t="s">
        <v>2522</v>
      </c>
      <c r="C1211" s="54" t="s">
        <v>2496</v>
      </c>
      <c r="D1211" t="s">
        <v>3477</v>
      </c>
      <c r="E1211" t="s">
        <v>3477</v>
      </c>
    </row>
    <row r="1212" spans="1:5" ht="15" customHeight="1" x14ac:dyDescent="0.2">
      <c r="A1212" s="54" t="s">
        <v>2523</v>
      </c>
      <c r="B1212" s="54" t="s">
        <v>2523</v>
      </c>
      <c r="C1212" s="54" t="s">
        <v>2496</v>
      </c>
      <c r="D1212" t="s">
        <v>3477</v>
      </c>
      <c r="E1212" t="s">
        <v>3477</v>
      </c>
    </row>
    <row r="1213" spans="1:5" ht="15" customHeight="1" x14ac:dyDescent="0.2">
      <c r="A1213" s="54" t="s">
        <v>2524</v>
      </c>
      <c r="B1213" s="54" t="s">
        <v>2524</v>
      </c>
      <c r="C1213" s="54" t="s">
        <v>2496</v>
      </c>
      <c r="D1213" t="s">
        <v>3477</v>
      </c>
      <c r="E1213" t="s">
        <v>3477</v>
      </c>
    </row>
    <row r="1214" spans="1:5" ht="15" customHeight="1" x14ac:dyDescent="0.2">
      <c r="A1214" s="54" t="s">
        <v>2525</v>
      </c>
      <c r="B1214" s="54" t="s">
        <v>2525</v>
      </c>
      <c r="C1214" s="54" t="s">
        <v>2496</v>
      </c>
      <c r="D1214" t="s">
        <v>3477</v>
      </c>
      <c r="E1214" t="s">
        <v>3477</v>
      </c>
    </row>
    <row r="1215" spans="1:5" ht="15" customHeight="1" x14ac:dyDescent="0.2">
      <c r="A1215" s="54" t="s">
        <v>2526</v>
      </c>
      <c r="B1215" s="54" t="s">
        <v>2526</v>
      </c>
      <c r="C1215" s="54" t="s">
        <v>2517</v>
      </c>
      <c r="D1215" t="s">
        <v>3477</v>
      </c>
      <c r="E1215" t="s">
        <v>3477</v>
      </c>
    </row>
    <row r="1216" spans="1:5" ht="15" customHeight="1" x14ac:dyDescent="0.2">
      <c r="A1216" s="54" t="s">
        <v>2527</v>
      </c>
      <c r="B1216" s="54" t="s">
        <v>2527</v>
      </c>
      <c r="C1216" s="54" t="s">
        <v>2528</v>
      </c>
      <c r="D1216" t="s">
        <v>3477</v>
      </c>
      <c r="E1216" t="s">
        <v>3477</v>
      </c>
    </row>
    <row r="1217" spans="1:5" ht="15" customHeight="1" x14ac:dyDescent="0.2">
      <c r="A1217" s="54" t="s">
        <v>2529</v>
      </c>
      <c r="B1217" s="54" t="s">
        <v>2529</v>
      </c>
      <c r="C1217" s="54" t="s">
        <v>2530</v>
      </c>
      <c r="D1217" t="s">
        <v>3477</v>
      </c>
      <c r="E1217" t="s">
        <v>3477</v>
      </c>
    </row>
    <row r="1218" spans="1:5" ht="15" customHeight="1" x14ac:dyDescent="0.2">
      <c r="A1218" s="54" t="s">
        <v>2531</v>
      </c>
      <c r="B1218" s="54" t="s">
        <v>2531</v>
      </c>
      <c r="C1218" s="54" t="s">
        <v>2532</v>
      </c>
      <c r="D1218" t="s">
        <v>3477</v>
      </c>
      <c r="E1218" t="s">
        <v>3477</v>
      </c>
    </row>
    <row r="1219" spans="1:5" ht="15" customHeight="1" x14ac:dyDescent="0.2">
      <c r="A1219" s="54" t="s">
        <v>2533</v>
      </c>
      <c r="B1219" s="54" t="s">
        <v>2533</v>
      </c>
      <c r="C1219" s="54" t="s">
        <v>2530</v>
      </c>
      <c r="D1219" t="s">
        <v>3477</v>
      </c>
      <c r="E1219" t="s">
        <v>3477</v>
      </c>
    </row>
    <row r="1220" spans="1:5" ht="15" customHeight="1" x14ac:dyDescent="0.2">
      <c r="A1220" s="54" t="s">
        <v>2534</v>
      </c>
      <c r="B1220" s="54" t="s">
        <v>2534</v>
      </c>
      <c r="C1220" s="54" t="s">
        <v>2532</v>
      </c>
      <c r="D1220" t="s">
        <v>3477</v>
      </c>
      <c r="E1220" t="s">
        <v>3477</v>
      </c>
    </row>
    <row r="1221" spans="1:5" ht="15" customHeight="1" x14ac:dyDescent="0.2">
      <c r="A1221" s="54" t="s">
        <v>2535</v>
      </c>
      <c r="B1221" s="54" t="s">
        <v>2535</v>
      </c>
      <c r="C1221" s="54" t="s">
        <v>2536</v>
      </c>
      <c r="D1221" t="s">
        <v>3477</v>
      </c>
      <c r="E1221" t="s">
        <v>3477</v>
      </c>
    </row>
    <row r="1222" spans="1:5" ht="15" customHeight="1" x14ac:dyDescent="0.2">
      <c r="A1222" s="54" t="s">
        <v>2797</v>
      </c>
      <c r="B1222" s="54" t="s">
        <v>2797</v>
      </c>
      <c r="C1222" s="54" t="s">
        <v>2530</v>
      </c>
      <c r="D1222" t="s">
        <v>3477</v>
      </c>
      <c r="E1222" t="s">
        <v>3477</v>
      </c>
    </row>
    <row r="1223" spans="1:5" ht="15" customHeight="1" x14ac:dyDescent="0.2">
      <c r="A1223" s="54" t="s">
        <v>2537</v>
      </c>
      <c r="B1223" s="54" t="s">
        <v>2537</v>
      </c>
      <c r="C1223" s="54" t="s">
        <v>2536</v>
      </c>
      <c r="D1223" t="s">
        <v>3477</v>
      </c>
      <c r="E1223" t="s">
        <v>3477</v>
      </c>
    </row>
    <row r="1224" spans="1:5" ht="15" customHeight="1" x14ac:dyDescent="0.2">
      <c r="A1224" s="54" t="s">
        <v>2538</v>
      </c>
      <c r="B1224" s="54" t="s">
        <v>2538</v>
      </c>
      <c r="C1224" s="54" t="s">
        <v>2530</v>
      </c>
      <c r="D1224" t="s">
        <v>3477</v>
      </c>
      <c r="E1224" t="s">
        <v>3477</v>
      </c>
    </row>
    <row r="1225" spans="1:5" ht="15" customHeight="1" x14ac:dyDescent="0.2">
      <c r="A1225" s="54" t="s">
        <v>2539</v>
      </c>
      <c r="B1225" s="54" t="s">
        <v>2539</v>
      </c>
      <c r="C1225" s="54" t="s">
        <v>2532</v>
      </c>
      <c r="D1225" t="s">
        <v>3477</v>
      </c>
      <c r="E1225" t="s">
        <v>3477</v>
      </c>
    </row>
    <row r="1226" spans="1:5" ht="15" customHeight="1" x14ac:dyDescent="0.2">
      <c r="A1226" s="54" t="s">
        <v>233</v>
      </c>
      <c r="B1226" s="54" t="s">
        <v>233</v>
      </c>
      <c r="C1226" s="54" t="s">
        <v>2392</v>
      </c>
      <c r="D1226" t="s">
        <v>3477</v>
      </c>
      <c r="E1226" t="s">
        <v>3477</v>
      </c>
    </row>
    <row r="1227" spans="1:5" ht="15" customHeight="1" x14ac:dyDescent="0.2">
      <c r="A1227" s="54" t="s">
        <v>2799</v>
      </c>
      <c r="B1227" s="54" t="s">
        <v>2799</v>
      </c>
      <c r="C1227" s="54" t="s">
        <v>2532</v>
      </c>
      <c r="D1227" t="s">
        <v>3477</v>
      </c>
      <c r="E1227" t="s">
        <v>3477</v>
      </c>
    </row>
    <row r="1228" spans="1:5" ht="15" customHeight="1" x14ac:dyDescent="0.2">
      <c r="A1228" s="54" t="s">
        <v>2801</v>
      </c>
      <c r="B1228" s="54" t="s">
        <v>2801</v>
      </c>
      <c r="C1228" s="54" t="s">
        <v>2540</v>
      </c>
      <c r="D1228" t="s">
        <v>3477</v>
      </c>
      <c r="E1228" t="s">
        <v>3477</v>
      </c>
    </row>
    <row r="1229" spans="1:5" ht="15" customHeight="1" x14ac:dyDescent="0.2">
      <c r="A1229" s="54" t="s">
        <v>2803</v>
      </c>
      <c r="B1229" s="54" t="s">
        <v>2803</v>
      </c>
      <c r="C1229" s="54" t="s">
        <v>2541</v>
      </c>
      <c r="D1229" t="s">
        <v>3477</v>
      </c>
      <c r="E1229" t="s">
        <v>3477</v>
      </c>
    </row>
    <row r="1230" spans="1:5" ht="15" customHeight="1" x14ac:dyDescent="0.2">
      <c r="A1230" s="54" t="s">
        <v>2542</v>
      </c>
      <c r="B1230" s="54" t="s">
        <v>2542</v>
      </c>
      <c r="C1230" s="54" t="s">
        <v>2496</v>
      </c>
      <c r="D1230" t="s">
        <v>3477</v>
      </c>
      <c r="E1230" t="s">
        <v>3477</v>
      </c>
    </row>
    <row r="1231" spans="1:5" ht="15" customHeight="1" x14ac:dyDescent="0.2">
      <c r="A1231" s="54" t="s">
        <v>2543</v>
      </c>
      <c r="B1231" s="54" t="s">
        <v>2543</v>
      </c>
      <c r="C1231" s="54" t="s">
        <v>2544</v>
      </c>
      <c r="D1231" t="s">
        <v>3477</v>
      </c>
      <c r="E1231" t="s">
        <v>3477</v>
      </c>
    </row>
    <row r="1232" spans="1:5" ht="15" customHeight="1" x14ac:dyDescent="0.2">
      <c r="A1232" s="54" t="s">
        <v>2545</v>
      </c>
      <c r="B1232" s="54" t="s">
        <v>2545</v>
      </c>
      <c r="C1232" s="54" t="s">
        <v>2546</v>
      </c>
      <c r="D1232" t="s">
        <v>3477</v>
      </c>
      <c r="E1232" t="s">
        <v>3477</v>
      </c>
    </row>
    <row r="1233" spans="1:5" ht="15" customHeight="1" x14ac:dyDescent="0.2">
      <c r="A1233" s="54" t="s">
        <v>2547</v>
      </c>
      <c r="B1233" s="54" t="s">
        <v>2547</v>
      </c>
      <c r="C1233" s="54" t="s">
        <v>2548</v>
      </c>
      <c r="D1233" t="s">
        <v>3477</v>
      </c>
      <c r="E1233" t="s">
        <v>3477</v>
      </c>
    </row>
    <row r="1234" spans="1:5" ht="15" customHeight="1" x14ac:dyDescent="0.2">
      <c r="A1234" s="54" t="s">
        <v>2549</v>
      </c>
      <c r="B1234" s="54" t="s">
        <v>2549</v>
      </c>
      <c r="C1234" s="54" t="s">
        <v>2393</v>
      </c>
      <c r="D1234" t="s">
        <v>3477</v>
      </c>
      <c r="E1234" t="s">
        <v>3477</v>
      </c>
    </row>
    <row r="1235" spans="1:5" ht="15" customHeight="1" x14ac:dyDescent="0.2">
      <c r="A1235" s="54" t="s">
        <v>2550</v>
      </c>
      <c r="B1235" s="54" t="s">
        <v>2550</v>
      </c>
      <c r="C1235" s="54" t="s">
        <v>2551</v>
      </c>
      <c r="D1235" t="s">
        <v>3477</v>
      </c>
      <c r="E1235" t="s">
        <v>3477</v>
      </c>
    </row>
    <row r="1236" spans="1:5" ht="15" customHeight="1" x14ac:dyDescent="0.2">
      <c r="A1236" s="62" t="s">
        <v>2552</v>
      </c>
      <c r="B1236" s="62" t="s">
        <v>2552</v>
      </c>
      <c r="C1236" s="54" t="s">
        <v>2553</v>
      </c>
      <c r="D1236" t="s">
        <v>3477</v>
      </c>
      <c r="E1236" t="s">
        <v>3477</v>
      </c>
    </row>
    <row r="1237" spans="1:5" ht="15" customHeight="1" x14ac:dyDescent="0.2">
      <c r="A1237" s="62" t="s">
        <v>2554</v>
      </c>
      <c r="B1237" s="62" t="s">
        <v>2554</v>
      </c>
      <c r="C1237" s="54" t="s">
        <v>2553</v>
      </c>
      <c r="D1237" t="s">
        <v>3477</v>
      </c>
      <c r="E1237" t="s">
        <v>3477</v>
      </c>
    </row>
    <row r="1238" spans="1:5" ht="15" customHeight="1" x14ac:dyDescent="0.2">
      <c r="A1238" s="62" t="s">
        <v>2555</v>
      </c>
      <c r="B1238" s="62" t="s">
        <v>2555</v>
      </c>
      <c r="C1238" s="54" t="s">
        <v>2556</v>
      </c>
      <c r="D1238" t="s">
        <v>3477</v>
      </c>
      <c r="E1238" t="s">
        <v>3477</v>
      </c>
    </row>
    <row r="1239" spans="1:5" ht="15" customHeight="1" x14ac:dyDescent="0.2">
      <c r="A1239" s="62" t="s">
        <v>2557</v>
      </c>
      <c r="B1239" s="62" t="s">
        <v>2557</v>
      </c>
      <c r="C1239" s="54" t="s">
        <v>2556</v>
      </c>
      <c r="D1239" t="s">
        <v>3477</v>
      </c>
      <c r="E1239" t="s">
        <v>3477</v>
      </c>
    </row>
    <row r="1240" spans="1:5" ht="15" customHeight="1" x14ac:dyDescent="0.2">
      <c r="A1240" s="62" t="s">
        <v>2558</v>
      </c>
      <c r="B1240" s="62" t="s">
        <v>2558</v>
      </c>
      <c r="C1240" s="54" t="s">
        <v>2556</v>
      </c>
      <c r="D1240" t="s">
        <v>3477</v>
      </c>
      <c r="E1240" t="s">
        <v>3477</v>
      </c>
    </row>
    <row r="1241" spans="1:5" ht="15" customHeight="1" x14ac:dyDescent="0.2">
      <c r="A1241" s="62" t="s">
        <v>2559</v>
      </c>
      <c r="B1241" s="62" t="s">
        <v>2559</v>
      </c>
      <c r="C1241" s="54" t="s">
        <v>2556</v>
      </c>
      <c r="D1241" t="s">
        <v>3477</v>
      </c>
      <c r="E1241" t="s">
        <v>3477</v>
      </c>
    </row>
    <row r="1242" spans="1:5" ht="15" customHeight="1" x14ac:dyDescent="0.2">
      <c r="A1242" s="62" t="s">
        <v>2560</v>
      </c>
      <c r="B1242" s="62" t="s">
        <v>2560</v>
      </c>
      <c r="C1242" s="54" t="s">
        <v>2556</v>
      </c>
      <c r="D1242" t="s">
        <v>3477</v>
      </c>
      <c r="E1242" t="s">
        <v>3477</v>
      </c>
    </row>
    <row r="1243" spans="1:5" ht="15" customHeight="1" x14ac:dyDescent="0.2">
      <c r="A1243" s="62" t="s">
        <v>2561</v>
      </c>
      <c r="B1243" s="62" t="s">
        <v>2561</v>
      </c>
      <c r="C1243" s="54" t="s">
        <v>2556</v>
      </c>
      <c r="D1243" t="s">
        <v>3477</v>
      </c>
      <c r="E1243" t="s">
        <v>3477</v>
      </c>
    </row>
    <row r="1244" spans="1:5" ht="15" customHeight="1" x14ac:dyDescent="0.2">
      <c r="A1244" s="62" t="s">
        <v>2562</v>
      </c>
      <c r="B1244" s="62" t="s">
        <v>2562</v>
      </c>
      <c r="C1244" s="54" t="s">
        <v>2556</v>
      </c>
      <c r="D1244" t="s">
        <v>3477</v>
      </c>
      <c r="E1244" t="s">
        <v>3477</v>
      </c>
    </row>
    <row r="1245" spans="1:5" ht="15" customHeight="1" x14ac:dyDescent="0.2">
      <c r="A1245" s="62" t="s">
        <v>2563</v>
      </c>
      <c r="B1245" s="62" t="s">
        <v>2563</v>
      </c>
      <c r="C1245" s="54" t="s">
        <v>2556</v>
      </c>
      <c r="D1245" t="s">
        <v>3477</v>
      </c>
      <c r="E1245" t="s">
        <v>3477</v>
      </c>
    </row>
    <row r="1246" spans="1:5" ht="15" customHeight="1" x14ac:dyDescent="0.2">
      <c r="A1246" s="62" t="s">
        <v>2564</v>
      </c>
      <c r="B1246" s="62" t="s">
        <v>2564</v>
      </c>
      <c r="C1246" s="54" t="s">
        <v>2556</v>
      </c>
      <c r="D1246" t="s">
        <v>3477</v>
      </c>
      <c r="E1246" t="s">
        <v>3477</v>
      </c>
    </row>
    <row r="1247" spans="1:5" ht="15" customHeight="1" x14ac:dyDescent="0.2">
      <c r="A1247" s="62" t="s">
        <v>2565</v>
      </c>
      <c r="B1247" s="62" t="s">
        <v>2565</v>
      </c>
      <c r="C1247" s="54" t="s">
        <v>2556</v>
      </c>
      <c r="D1247" t="s">
        <v>3477</v>
      </c>
      <c r="E1247" t="s">
        <v>3477</v>
      </c>
    </row>
    <row r="1248" spans="1:5" ht="15" customHeight="1" x14ac:dyDescent="0.2">
      <c r="A1248" s="62" t="s">
        <v>2566</v>
      </c>
      <c r="B1248" s="62" t="s">
        <v>2566</v>
      </c>
      <c r="C1248" s="54" t="s">
        <v>2556</v>
      </c>
      <c r="D1248" t="s">
        <v>3477</v>
      </c>
      <c r="E1248" t="s">
        <v>3477</v>
      </c>
    </row>
    <row r="1249" spans="1:5" ht="15" customHeight="1" x14ac:dyDescent="0.2">
      <c r="A1249" s="62" t="s">
        <v>2567</v>
      </c>
      <c r="B1249" s="62" t="s">
        <v>2567</v>
      </c>
      <c r="C1249" s="54" t="s">
        <v>2568</v>
      </c>
      <c r="D1249" t="s">
        <v>3477</v>
      </c>
      <c r="E1249" t="s">
        <v>3477</v>
      </c>
    </row>
    <row r="1250" spans="1:5" ht="15" customHeight="1" x14ac:dyDescent="0.2">
      <c r="A1250" s="62" t="s">
        <v>2569</v>
      </c>
      <c r="B1250" s="62" t="s">
        <v>2569</v>
      </c>
      <c r="C1250" s="54" t="s">
        <v>2568</v>
      </c>
      <c r="D1250" t="s">
        <v>3477</v>
      </c>
      <c r="E1250" t="s">
        <v>3477</v>
      </c>
    </row>
    <row r="1251" spans="1:5" ht="15" customHeight="1" x14ac:dyDescent="0.2">
      <c r="A1251" s="62" t="s">
        <v>2570</v>
      </c>
      <c r="B1251" s="62" t="s">
        <v>2570</v>
      </c>
      <c r="C1251" s="54" t="s">
        <v>2568</v>
      </c>
      <c r="D1251" t="s">
        <v>3477</v>
      </c>
      <c r="E1251" t="s">
        <v>3477</v>
      </c>
    </row>
    <row r="1252" spans="1:5" ht="15" customHeight="1" x14ac:dyDescent="0.2">
      <c r="A1252" s="62" t="s">
        <v>2571</v>
      </c>
      <c r="B1252" s="62" t="s">
        <v>2571</v>
      </c>
      <c r="C1252" s="54" t="s">
        <v>2568</v>
      </c>
      <c r="D1252" t="s">
        <v>3477</v>
      </c>
      <c r="E1252" t="s">
        <v>3477</v>
      </c>
    </row>
    <row r="1253" spans="1:5" ht="15" customHeight="1" x14ac:dyDescent="0.2">
      <c r="A1253" s="62" t="s">
        <v>2572</v>
      </c>
      <c r="B1253" s="62" t="s">
        <v>2572</v>
      </c>
      <c r="C1253" s="54" t="s">
        <v>2573</v>
      </c>
      <c r="D1253" t="s">
        <v>3477</v>
      </c>
      <c r="E1253" t="s">
        <v>3477</v>
      </c>
    </row>
    <row r="1254" spans="1:5" ht="15" customHeight="1" x14ac:dyDescent="0.2">
      <c r="A1254" s="62" t="s">
        <v>2574</v>
      </c>
      <c r="B1254" s="62" t="s">
        <v>2574</v>
      </c>
      <c r="C1254" s="54" t="s">
        <v>2575</v>
      </c>
      <c r="D1254" t="s">
        <v>3477</v>
      </c>
      <c r="E1254" t="s">
        <v>3477</v>
      </c>
    </row>
    <row r="1255" spans="1:5" ht="15" customHeight="1" x14ac:dyDescent="0.2">
      <c r="A1255" s="62" t="s">
        <v>2576</v>
      </c>
      <c r="B1255" s="62" t="s">
        <v>2576</v>
      </c>
      <c r="C1255" s="54" t="s">
        <v>2577</v>
      </c>
      <c r="D1255" t="s">
        <v>3477</v>
      </c>
      <c r="E1255" t="s">
        <v>3477</v>
      </c>
    </row>
    <row r="1256" spans="1:5" ht="15" customHeight="1" x14ac:dyDescent="0.2">
      <c r="A1256" s="62" t="s">
        <v>2578</v>
      </c>
      <c r="B1256" s="62" t="s">
        <v>2578</v>
      </c>
      <c r="C1256" s="54" t="s">
        <v>2579</v>
      </c>
      <c r="D1256" t="s">
        <v>3477</v>
      </c>
      <c r="E1256" t="s">
        <v>3477</v>
      </c>
    </row>
    <row r="1257" spans="1:5" ht="15" customHeight="1" x14ac:dyDescent="0.2">
      <c r="A1257" s="62" t="s">
        <v>2580</v>
      </c>
      <c r="B1257" s="62" t="s">
        <v>2580</v>
      </c>
      <c r="C1257" s="54" t="s">
        <v>2581</v>
      </c>
      <c r="D1257" t="s">
        <v>3477</v>
      </c>
      <c r="E1257" t="s">
        <v>3477</v>
      </c>
    </row>
    <row r="1258" spans="1:5" ht="15" customHeight="1" x14ac:dyDescent="0.2">
      <c r="A1258" s="62" t="s">
        <v>2582</v>
      </c>
      <c r="B1258" s="62" t="s">
        <v>2582</v>
      </c>
      <c r="C1258" s="54" t="s">
        <v>2583</v>
      </c>
      <c r="D1258" t="s">
        <v>3477</v>
      </c>
      <c r="E1258" t="s">
        <v>3477</v>
      </c>
    </row>
    <row r="1259" spans="1:5" ht="15" customHeight="1" x14ac:dyDescent="0.2">
      <c r="A1259" s="62" t="s">
        <v>2584</v>
      </c>
      <c r="B1259" s="62" t="s">
        <v>2584</v>
      </c>
      <c r="C1259" s="54" t="s">
        <v>2585</v>
      </c>
      <c r="D1259" t="s">
        <v>3477</v>
      </c>
      <c r="E1259" t="s">
        <v>3477</v>
      </c>
    </row>
    <row r="1260" spans="1:5" ht="15" customHeight="1" x14ac:dyDescent="0.2">
      <c r="A1260" s="62" t="s">
        <v>2586</v>
      </c>
      <c r="B1260" s="62" t="s">
        <v>2586</v>
      </c>
      <c r="C1260" s="54" t="s">
        <v>2587</v>
      </c>
      <c r="D1260" t="s">
        <v>3477</v>
      </c>
      <c r="E1260" t="s">
        <v>3477</v>
      </c>
    </row>
    <row r="1261" spans="1:5" ht="15" customHeight="1" x14ac:dyDescent="0.2">
      <c r="A1261" s="62" t="s">
        <v>2588</v>
      </c>
      <c r="B1261" s="62" t="s">
        <v>2588</v>
      </c>
      <c r="C1261" s="54" t="s">
        <v>2589</v>
      </c>
      <c r="D1261" t="s">
        <v>3477</v>
      </c>
      <c r="E1261" t="s">
        <v>3477</v>
      </c>
    </row>
    <row r="1262" spans="1:5" ht="15" customHeight="1" x14ac:dyDescent="0.2">
      <c r="A1262" s="62" t="s">
        <v>2590</v>
      </c>
      <c r="B1262" s="62" t="s">
        <v>2590</v>
      </c>
      <c r="C1262" s="54" t="s">
        <v>2591</v>
      </c>
      <c r="D1262" t="s">
        <v>3477</v>
      </c>
      <c r="E1262" t="s">
        <v>3477</v>
      </c>
    </row>
    <row r="1263" spans="1:5" ht="15" customHeight="1" x14ac:dyDescent="0.2">
      <c r="A1263" s="62" t="s">
        <v>2592</v>
      </c>
      <c r="B1263" s="62" t="s">
        <v>2592</v>
      </c>
      <c r="C1263" s="54" t="s">
        <v>2593</v>
      </c>
      <c r="D1263" t="s">
        <v>3477</v>
      </c>
      <c r="E1263" t="s">
        <v>3477</v>
      </c>
    </row>
    <row r="1264" spans="1:5" ht="15" customHeight="1" x14ac:dyDescent="0.2">
      <c r="A1264" s="62" t="s">
        <v>2594</v>
      </c>
      <c r="B1264" s="62" t="s">
        <v>2594</v>
      </c>
      <c r="C1264" s="54" t="s">
        <v>2585</v>
      </c>
      <c r="D1264" t="s">
        <v>3477</v>
      </c>
      <c r="E1264" t="s">
        <v>3477</v>
      </c>
    </row>
    <row r="1265" spans="1:5" ht="15" customHeight="1" x14ac:dyDescent="0.2">
      <c r="A1265" s="62" t="s">
        <v>2595</v>
      </c>
      <c r="B1265" s="62" t="s">
        <v>2595</v>
      </c>
      <c r="C1265" s="54" t="s">
        <v>2589</v>
      </c>
      <c r="D1265" t="s">
        <v>3477</v>
      </c>
      <c r="E1265" t="s">
        <v>3477</v>
      </c>
    </row>
    <row r="1266" spans="1:5" ht="15" customHeight="1" x14ac:dyDescent="0.2">
      <c r="A1266" s="62" t="s">
        <v>2596</v>
      </c>
      <c r="B1266" s="62" t="s">
        <v>2596</v>
      </c>
      <c r="C1266" s="54" t="s">
        <v>2597</v>
      </c>
      <c r="D1266" t="s">
        <v>3477</v>
      </c>
      <c r="E1266" t="s">
        <v>3477</v>
      </c>
    </row>
    <row r="1267" spans="1:5" ht="15" customHeight="1" x14ac:dyDescent="0.2">
      <c r="A1267" s="62" t="s">
        <v>2598</v>
      </c>
      <c r="B1267" s="62" t="s">
        <v>2598</v>
      </c>
      <c r="C1267" s="54" t="s">
        <v>2591</v>
      </c>
      <c r="D1267" t="s">
        <v>3477</v>
      </c>
      <c r="E1267" t="s">
        <v>3477</v>
      </c>
    </row>
    <row r="1268" spans="1:5" ht="15" customHeight="1" x14ac:dyDescent="0.2">
      <c r="A1268" s="62" t="s">
        <v>2599</v>
      </c>
      <c r="B1268" s="62" t="s">
        <v>2599</v>
      </c>
      <c r="C1268" s="54" t="s">
        <v>2600</v>
      </c>
      <c r="D1268" t="s">
        <v>3477</v>
      </c>
      <c r="E1268" t="s">
        <v>3477</v>
      </c>
    </row>
    <row r="1269" spans="1:5" ht="15" customHeight="1" x14ac:dyDescent="0.2">
      <c r="A1269" s="62" t="s">
        <v>2601</v>
      </c>
      <c r="B1269" s="62" t="s">
        <v>2601</v>
      </c>
      <c r="C1269" s="54" t="s">
        <v>2568</v>
      </c>
      <c r="D1269" t="s">
        <v>3477</v>
      </c>
      <c r="E1269" t="s">
        <v>3477</v>
      </c>
    </row>
    <row r="1270" spans="1:5" ht="15" customHeight="1" x14ac:dyDescent="0.2">
      <c r="A1270" s="54" t="s">
        <v>2602</v>
      </c>
      <c r="B1270" s="54" t="s">
        <v>2602</v>
      </c>
      <c r="C1270" s="54" t="s">
        <v>2603</v>
      </c>
      <c r="D1270" t="s">
        <v>3477</v>
      </c>
      <c r="E1270" t="s">
        <v>3477</v>
      </c>
    </row>
    <row r="1271" spans="1:5" ht="15" customHeight="1" x14ac:dyDescent="0.2">
      <c r="A1271" s="54" t="s">
        <v>2604</v>
      </c>
      <c r="B1271" s="54" t="s">
        <v>2604</v>
      </c>
      <c r="C1271" s="54" t="s">
        <v>2605</v>
      </c>
      <c r="D1271" t="s">
        <v>3477</v>
      </c>
      <c r="E1271" t="s">
        <v>3477</v>
      </c>
    </row>
    <row r="1272" spans="1:5" ht="15" customHeight="1" x14ac:dyDescent="0.2">
      <c r="A1272" s="54" t="s">
        <v>2606</v>
      </c>
      <c r="B1272" s="54" t="s">
        <v>2606</v>
      </c>
      <c r="C1272" s="54" t="s">
        <v>2607</v>
      </c>
      <c r="D1272" t="s">
        <v>3477</v>
      </c>
      <c r="E1272" t="s">
        <v>3477</v>
      </c>
    </row>
    <row r="1273" spans="1:5" ht="15" customHeight="1" x14ac:dyDescent="0.2">
      <c r="A1273" s="54" t="s">
        <v>2608</v>
      </c>
      <c r="B1273" s="54" t="s">
        <v>2608</v>
      </c>
      <c r="C1273" s="54" t="s">
        <v>2609</v>
      </c>
      <c r="D1273" t="s">
        <v>3477</v>
      </c>
      <c r="E1273" t="s">
        <v>3477</v>
      </c>
    </row>
    <row r="1274" spans="1:5" ht="15" customHeight="1" x14ac:dyDescent="0.2">
      <c r="A1274" s="54" t="s">
        <v>2610</v>
      </c>
      <c r="B1274" s="54" t="s">
        <v>2610</v>
      </c>
      <c r="C1274" s="54" t="s">
        <v>2605</v>
      </c>
      <c r="D1274" t="s">
        <v>3477</v>
      </c>
      <c r="E1274" t="s">
        <v>3477</v>
      </c>
    </row>
    <row r="1275" spans="1:5" ht="15" customHeight="1" x14ac:dyDescent="0.2">
      <c r="A1275" s="54" t="s">
        <v>2611</v>
      </c>
      <c r="B1275" s="54" t="s">
        <v>2611</v>
      </c>
      <c r="C1275" s="54" t="s">
        <v>2605</v>
      </c>
      <c r="D1275" t="s">
        <v>3477</v>
      </c>
      <c r="E1275" t="s">
        <v>3477</v>
      </c>
    </row>
    <row r="1276" spans="1:5" ht="15" customHeight="1" x14ac:dyDescent="0.2">
      <c r="A1276" s="54" t="s">
        <v>2612</v>
      </c>
      <c r="B1276" s="54" t="s">
        <v>2612</v>
      </c>
      <c r="C1276" s="54" t="s">
        <v>2605</v>
      </c>
      <c r="D1276" t="s">
        <v>3477</v>
      </c>
      <c r="E1276" t="s">
        <v>3477</v>
      </c>
    </row>
    <row r="1277" spans="1:5" ht="15" customHeight="1" x14ac:dyDescent="0.2">
      <c r="A1277" s="54" t="s">
        <v>2613</v>
      </c>
      <c r="B1277" s="54" t="s">
        <v>2613</v>
      </c>
      <c r="C1277" s="54" t="s">
        <v>2605</v>
      </c>
      <c r="D1277" t="s">
        <v>3477</v>
      </c>
      <c r="E1277" t="s">
        <v>3477</v>
      </c>
    </row>
    <row r="1278" spans="1:5" ht="15" customHeight="1" x14ac:dyDescent="0.2">
      <c r="A1278" s="65" t="s">
        <v>2614</v>
      </c>
      <c r="B1278" s="65" t="s">
        <v>2614</v>
      </c>
      <c r="C1278" s="54" t="s">
        <v>2615</v>
      </c>
      <c r="D1278" t="s">
        <v>3477</v>
      </c>
      <c r="E1278" t="s">
        <v>3477</v>
      </c>
    </row>
    <row r="1279" spans="1:5" ht="15" customHeight="1" x14ac:dyDescent="0.2">
      <c r="A1279" s="65" t="s">
        <v>2616</v>
      </c>
      <c r="B1279" s="65" t="s">
        <v>2616</v>
      </c>
      <c r="C1279" s="54" t="s">
        <v>2617</v>
      </c>
      <c r="D1279" t="s">
        <v>3477</v>
      </c>
      <c r="E1279" t="s">
        <v>3477</v>
      </c>
    </row>
    <row r="1280" spans="1:5" ht="15" customHeight="1" x14ac:dyDescent="0.2">
      <c r="A1280" s="65" t="s">
        <v>2618</v>
      </c>
      <c r="B1280" s="65" t="s">
        <v>2618</v>
      </c>
      <c r="C1280" s="54" t="s">
        <v>2619</v>
      </c>
      <c r="D1280" t="s">
        <v>3477</v>
      </c>
      <c r="E1280" t="s">
        <v>3477</v>
      </c>
    </row>
    <row r="1281" spans="1:5" ht="15" customHeight="1" x14ac:dyDescent="0.2">
      <c r="A1281" s="66" t="s">
        <v>2620</v>
      </c>
      <c r="B1281" s="66" t="s">
        <v>2620</v>
      </c>
      <c r="C1281" s="54" t="s">
        <v>2621</v>
      </c>
      <c r="D1281" t="s">
        <v>3477</v>
      </c>
      <c r="E1281" t="s">
        <v>3477</v>
      </c>
    </row>
    <row r="1282" spans="1:5" ht="15" customHeight="1" x14ac:dyDescent="0.2">
      <c r="A1282" s="66" t="s">
        <v>2622</v>
      </c>
      <c r="B1282" s="66" t="s">
        <v>2622</v>
      </c>
      <c r="C1282" s="54" t="s">
        <v>2623</v>
      </c>
      <c r="D1282" t="s">
        <v>3477</v>
      </c>
      <c r="E1282" t="s">
        <v>3477</v>
      </c>
    </row>
    <row r="1283" spans="1:5" ht="15" customHeight="1" x14ac:dyDescent="0.2">
      <c r="A1283" s="66" t="s">
        <v>2390</v>
      </c>
      <c r="B1283" s="66" t="s">
        <v>2390</v>
      </c>
      <c r="C1283" s="54" t="s">
        <v>2624</v>
      </c>
      <c r="D1283" t="s">
        <v>3477</v>
      </c>
      <c r="E1283" t="s">
        <v>3477</v>
      </c>
    </row>
    <row r="1284" spans="1:5" ht="15" customHeight="1" x14ac:dyDescent="0.2">
      <c r="A1284" s="66" t="s">
        <v>2625</v>
      </c>
      <c r="B1284" s="66" t="s">
        <v>2625</v>
      </c>
      <c r="C1284" s="54" t="s">
        <v>2626</v>
      </c>
      <c r="D1284" t="s">
        <v>3477</v>
      </c>
      <c r="E1284" t="s">
        <v>3477</v>
      </c>
    </row>
    <row r="1285" spans="1:5" ht="15" customHeight="1" x14ac:dyDescent="0.2">
      <c r="A1285" s="66" t="s">
        <v>1368</v>
      </c>
      <c r="B1285" s="66" t="s">
        <v>1368</v>
      </c>
      <c r="C1285" s="54" t="s">
        <v>2627</v>
      </c>
      <c r="D1285" t="s">
        <v>3477</v>
      </c>
      <c r="E1285" t="s">
        <v>3477</v>
      </c>
    </row>
    <row r="1286" spans="1:5" ht="15" customHeight="1" x14ac:dyDescent="0.2">
      <c r="A1286" s="66" t="s">
        <v>1374</v>
      </c>
      <c r="B1286" s="66" t="s">
        <v>1374</v>
      </c>
      <c r="C1286" s="54" t="s">
        <v>2628</v>
      </c>
      <c r="D1286" t="s">
        <v>3477</v>
      </c>
      <c r="E1286" t="s">
        <v>3477</v>
      </c>
    </row>
    <row r="1287" spans="1:5" ht="15" customHeight="1" x14ac:dyDescent="0.2">
      <c r="A1287" s="66" t="s">
        <v>2629</v>
      </c>
      <c r="B1287" s="66" t="s">
        <v>2629</v>
      </c>
      <c r="C1287" s="54" t="s">
        <v>2630</v>
      </c>
      <c r="D1287" t="s">
        <v>3477</v>
      </c>
      <c r="E1287" t="s">
        <v>3477</v>
      </c>
    </row>
    <row r="1288" spans="1:5" ht="15" customHeight="1" x14ac:dyDescent="0.2">
      <c r="A1288" s="66" t="s">
        <v>2631</v>
      </c>
      <c r="B1288" s="66" t="s">
        <v>2631</v>
      </c>
      <c r="C1288" s="54" t="s">
        <v>2678</v>
      </c>
      <c r="D1288" t="s">
        <v>3477</v>
      </c>
      <c r="E1288" t="s">
        <v>3477</v>
      </c>
    </row>
    <row r="1289" spans="1:5" ht="15" customHeight="1" x14ac:dyDescent="0.2">
      <c r="A1289" s="66" t="s">
        <v>1394</v>
      </c>
      <c r="B1289" s="66" t="s">
        <v>1394</v>
      </c>
      <c r="C1289" s="54" t="s">
        <v>2632</v>
      </c>
      <c r="D1289" t="s">
        <v>3477</v>
      </c>
      <c r="E1289" t="s">
        <v>3477</v>
      </c>
    </row>
    <row r="1290" spans="1:5" ht="15" customHeight="1" x14ac:dyDescent="0.2">
      <c r="A1290" s="66" t="s">
        <v>1396</v>
      </c>
      <c r="B1290" s="66" t="s">
        <v>1396</v>
      </c>
      <c r="C1290" s="54" t="s">
        <v>2633</v>
      </c>
      <c r="D1290" t="s">
        <v>3477</v>
      </c>
      <c r="E1290" t="s">
        <v>3477</v>
      </c>
    </row>
    <row r="1291" spans="1:5" ht="15" customHeight="1" x14ac:dyDescent="0.2">
      <c r="A1291" s="66" t="s">
        <v>2634</v>
      </c>
      <c r="B1291" s="66" t="s">
        <v>2634</v>
      </c>
      <c r="C1291" s="54" t="s">
        <v>2635</v>
      </c>
      <c r="D1291" t="s">
        <v>3477</v>
      </c>
      <c r="E1291" t="s">
        <v>3477</v>
      </c>
    </row>
    <row r="1292" spans="1:5" ht="15" customHeight="1" x14ac:dyDescent="0.2">
      <c r="A1292" s="66" t="s">
        <v>2388</v>
      </c>
      <c r="B1292" s="66" t="s">
        <v>2388</v>
      </c>
      <c r="C1292" s="54" t="s">
        <v>2636</v>
      </c>
      <c r="D1292" t="s">
        <v>3477</v>
      </c>
      <c r="E1292" t="s">
        <v>3477</v>
      </c>
    </row>
    <row r="1293" spans="1:5" ht="15" customHeight="1" x14ac:dyDescent="0.2">
      <c r="A1293" s="66" t="s">
        <v>235</v>
      </c>
      <c r="B1293" s="66" t="s">
        <v>235</v>
      </c>
      <c r="C1293" s="54" t="s">
        <v>2637</v>
      </c>
      <c r="D1293" t="s">
        <v>3477</v>
      </c>
      <c r="E1293" t="s">
        <v>3477</v>
      </c>
    </row>
    <row r="1294" spans="1:5" ht="15" customHeight="1" x14ac:dyDescent="0.2">
      <c r="A1294" s="66" t="s">
        <v>2638</v>
      </c>
      <c r="B1294" s="66" t="s">
        <v>2638</v>
      </c>
      <c r="C1294" s="54" t="s">
        <v>2639</v>
      </c>
      <c r="D1294" t="s">
        <v>3477</v>
      </c>
      <c r="E1294" t="s">
        <v>3477</v>
      </c>
    </row>
    <row r="1295" spans="1:5" ht="15" customHeight="1" x14ac:dyDescent="0.2">
      <c r="A1295" s="66" t="s">
        <v>2389</v>
      </c>
      <c r="B1295" s="66" t="s">
        <v>2389</v>
      </c>
      <c r="C1295" s="54" t="s">
        <v>2640</v>
      </c>
      <c r="D1295" t="s">
        <v>3477</v>
      </c>
      <c r="E1295" t="s">
        <v>3477</v>
      </c>
    </row>
    <row r="1296" spans="1:5" ht="15" customHeight="1" x14ac:dyDescent="0.2">
      <c r="A1296" s="66" t="s">
        <v>2641</v>
      </c>
      <c r="B1296" s="66" t="s">
        <v>2641</v>
      </c>
      <c r="C1296" s="54" t="s">
        <v>2642</v>
      </c>
      <c r="D1296" t="s">
        <v>3477</v>
      </c>
      <c r="E1296" t="s">
        <v>3477</v>
      </c>
    </row>
    <row r="1297" spans="1:5" ht="15" customHeight="1" x14ac:dyDescent="0.2">
      <c r="A1297" s="66" t="s">
        <v>2643</v>
      </c>
      <c r="B1297" s="66" t="s">
        <v>2643</v>
      </c>
      <c r="C1297" s="54" t="s">
        <v>2644</v>
      </c>
      <c r="D1297" t="s">
        <v>3477</v>
      </c>
      <c r="E1297" t="s">
        <v>3477</v>
      </c>
    </row>
    <row r="1298" spans="1:5" ht="15" customHeight="1" x14ac:dyDescent="0.2">
      <c r="A1298" s="66" t="s">
        <v>2730</v>
      </c>
      <c r="B1298" s="66" t="s">
        <v>2730</v>
      </c>
      <c r="C1298" s="54" t="s">
        <v>2645</v>
      </c>
      <c r="D1298" t="s">
        <v>3477</v>
      </c>
      <c r="E1298" t="s">
        <v>3477</v>
      </c>
    </row>
    <row r="1299" spans="1:5" ht="15" customHeight="1" x14ac:dyDescent="0.2">
      <c r="A1299" s="66" t="s">
        <v>2748</v>
      </c>
      <c r="B1299" s="66" t="s">
        <v>2748</v>
      </c>
      <c r="C1299" s="54" t="s">
        <v>2646</v>
      </c>
      <c r="D1299" t="s">
        <v>3477</v>
      </c>
      <c r="E1299" t="s">
        <v>3477</v>
      </c>
    </row>
    <row r="1300" spans="1:5" ht="15" customHeight="1" x14ac:dyDescent="0.2">
      <c r="A1300" s="66" t="s">
        <v>2647</v>
      </c>
      <c r="B1300" s="66" t="s">
        <v>2647</v>
      </c>
      <c r="C1300" s="54" t="s">
        <v>2648</v>
      </c>
      <c r="D1300" t="s">
        <v>3477</v>
      </c>
      <c r="E1300" t="s">
        <v>3477</v>
      </c>
    </row>
    <row r="1301" spans="1:5" ht="15" customHeight="1" x14ac:dyDescent="0.2">
      <c r="A1301" s="66" t="s">
        <v>2649</v>
      </c>
      <c r="B1301" s="66" t="s">
        <v>2649</v>
      </c>
      <c r="C1301" s="54" t="s">
        <v>2650</v>
      </c>
      <c r="D1301" t="s">
        <v>3477</v>
      </c>
      <c r="E1301" t="s">
        <v>3477</v>
      </c>
    </row>
    <row r="1302" spans="1:5" ht="15" customHeight="1" x14ac:dyDescent="0.2">
      <c r="A1302" s="66" t="s">
        <v>2387</v>
      </c>
      <c r="B1302" s="66" t="s">
        <v>2387</v>
      </c>
      <c r="C1302" s="54" t="s">
        <v>2651</v>
      </c>
      <c r="D1302" t="s">
        <v>3477</v>
      </c>
      <c r="E1302" t="s">
        <v>3477</v>
      </c>
    </row>
    <row r="1303" spans="1:5" ht="15" customHeight="1" x14ac:dyDescent="0.2">
      <c r="A1303" s="66" t="s">
        <v>2652</v>
      </c>
      <c r="B1303" s="66" t="s">
        <v>2652</v>
      </c>
      <c r="C1303" s="54" t="s">
        <v>2653</v>
      </c>
      <c r="D1303" t="s">
        <v>3477</v>
      </c>
      <c r="E1303" t="s">
        <v>3477</v>
      </c>
    </row>
    <row r="1304" spans="1:5" ht="15" customHeight="1" x14ac:dyDescent="0.2">
      <c r="A1304" s="66" t="s">
        <v>2386</v>
      </c>
      <c r="B1304" s="66" t="s">
        <v>2386</v>
      </c>
      <c r="C1304" s="54" t="s">
        <v>2654</v>
      </c>
      <c r="D1304" t="s">
        <v>3477</v>
      </c>
      <c r="E1304" t="s">
        <v>3477</v>
      </c>
    </row>
    <row r="1305" spans="1:5" ht="15" customHeight="1" x14ac:dyDescent="0.2">
      <c r="A1305" s="66" t="s">
        <v>2764</v>
      </c>
      <c r="B1305" s="66" t="s">
        <v>2764</v>
      </c>
      <c r="C1305" s="54" t="s">
        <v>2655</v>
      </c>
      <c r="D1305" t="s">
        <v>3477</v>
      </c>
      <c r="E1305" t="s">
        <v>3477</v>
      </c>
    </row>
    <row r="1306" spans="1:5" ht="15" customHeight="1" x14ac:dyDescent="0.2">
      <c r="A1306" s="66" t="s">
        <v>2768</v>
      </c>
      <c r="B1306" s="66" t="s">
        <v>2768</v>
      </c>
      <c r="C1306" s="54" t="s">
        <v>2656</v>
      </c>
      <c r="D1306" t="s">
        <v>3477</v>
      </c>
      <c r="E1306" t="s">
        <v>3477</v>
      </c>
    </row>
    <row r="1307" spans="1:5" ht="15" customHeight="1" x14ac:dyDescent="0.2">
      <c r="A1307" s="66" t="s">
        <v>2657</v>
      </c>
      <c r="B1307" s="66" t="s">
        <v>2657</v>
      </c>
      <c r="C1307" s="54" t="s">
        <v>2658</v>
      </c>
      <c r="D1307" t="s">
        <v>3477</v>
      </c>
      <c r="E1307" t="s">
        <v>3477</v>
      </c>
    </row>
    <row r="1308" spans="1:5" ht="15" customHeight="1" x14ac:dyDescent="0.2">
      <c r="A1308" s="66" t="s">
        <v>2659</v>
      </c>
      <c r="B1308" s="66" t="s">
        <v>2659</v>
      </c>
      <c r="C1308" s="54" t="s">
        <v>2660</v>
      </c>
      <c r="D1308" t="s">
        <v>3477</v>
      </c>
      <c r="E1308" t="s">
        <v>3477</v>
      </c>
    </row>
    <row r="1309" spans="1:5" ht="15" customHeight="1" x14ac:dyDescent="0.2">
      <c r="A1309" s="66" t="s">
        <v>2661</v>
      </c>
      <c r="B1309" s="66" t="s">
        <v>2661</v>
      </c>
      <c r="C1309" s="54" t="s">
        <v>2662</v>
      </c>
      <c r="D1309" t="s">
        <v>3477</v>
      </c>
      <c r="E1309" t="s">
        <v>3477</v>
      </c>
    </row>
    <row r="1310" spans="1:5" ht="15" customHeight="1" x14ac:dyDescent="0.2">
      <c r="A1310" s="66" t="s">
        <v>2663</v>
      </c>
      <c r="B1310" s="66" t="s">
        <v>2663</v>
      </c>
      <c r="C1310" s="54" t="s">
        <v>2664</v>
      </c>
      <c r="D1310" t="s">
        <v>3477</v>
      </c>
      <c r="E1310" t="s">
        <v>3477</v>
      </c>
    </row>
    <row r="1311" spans="1:5" ht="15" customHeight="1" x14ac:dyDescent="0.2">
      <c r="A1311" s="66" t="s">
        <v>2780</v>
      </c>
      <c r="B1311" s="66" t="s">
        <v>2780</v>
      </c>
      <c r="C1311" s="54" t="s">
        <v>2665</v>
      </c>
      <c r="D1311" t="s">
        <v>3477</v>
      </c>
      <c r="E1311" t="s">
        <v>3477</v>
      </c>
    </row>
    <row r="1312" spans="1:5" ht="15" customHeight="1" x14ac:dyDescent="0.2">
      <c r="A1312" s="66" t="s">
        <v>2781</v>
      </c>
      <c r="B1312" s="66" t="s">
        <v>2781</v>
      </c>
      <c r="C1312" s="54" t="s">
        <v>2666</v>
      </c>
      <c r="D1312" t="s">
        <v>3477</v>
      </c>
      <c r="E1312" t="s">
        <v>3477</v>
      </c>
    </row>
    <row r="1313" spans="1:5" ht="15" customHeight="1" x14ac:dyDescent="0.2">
      <c r="A1313" s="66" t="s">
        <v>2667</v>
      </c>
      <c r="B1313" s="66" t="s">
        <v>2667</v>
      </c>
      <c r="C1313" s="54" t="s">
        <v>2668</v>
      </c>
      <c r="D1313" t="s">
        <v>3477</v>
      </c>
      <c r="E1313" t="s">
        <v>3477</v>
      </c>
    </row>
    <row r="1314" spans="1:5" ht="15" customHeight="1" x14ac:dyDescent="0.2">
      <c r="A1314" s="66" t="s">
        <v>2783</v>
      </c>
      <c r="B1314" s="66" t="s">
        <v>2783</v>
      </c>
      <c r="C1314" s="54" t="s">
        <v>2669</v>
      </c>
      <c r="D1314" t="s">
        <v>3477</v>
      </c>
      <c r="E1314" t="s">
        <v>3477</v>
      </c>
    </row>
    <row r="1315" spans="1:5" ht="15" customHeight="1" x14ac:dyDescent="0.2">
      <c r="A1315" s="55" t="s">
        <v>679</v>
      </c>
      <c r="B1315" s="55" t="s">
        <v>680</v>
      </c>
      <c r="C1315" s="71" t="s">
        <v>681</v>
      </c>
      <c r="D1315" t="s">
        <v>3477</v>
      </c>
      <c r="E1315" t="s">
        <v>3477</v>
      </c>
    </row>
    <row r="1316" spans="1:5" ht="15" customHeight="1" x14ac:dyDescent="0.2">
      <c r="A1316" s="55" t="s">
        <v>677</v>
      </c>
      <c r="B1316" s="55" t="s">
        <v>677</v>
      </c>
      <c r="C1316" s="71" t="s">
        <v>678</v>
      </c>
      <c r="D1316" t="s">
        <v>3477</v>
      </c>
      <c r="E1316" t="s">
        <v>3477</v>
      </c>
    </row>
    <row r="1317" spans="1:5" ht="15" customHeight="1" x14ac:dyDescent="0.2">
      <c r="A1317" s="55" t="s">
        <v>843</v>
      </c>
      <c r="B1317" s="55" t="s">
        <v>844</v>
      </c>
      <c r="C1317" s="71" t="s">
        <v>845</v>
      </c>
      <c r="D1317" t="s">
        <v>3477</v>
      </c>
      <c r="E1317" t="s">
        <v>3477</v>
      </c>
    </row>
    <row r="1318" spans="1:5" ht="15" customHeight="1" x14ac:dyDescent="0.2">
      <c r="A1318" s="55" t="s">
        <v>858</v>
      </c>
      <c r="B1318" s="55" t="s">
        <v>858</v>
      </c>
      <c r="C1318" s="71" t="s">
        <v>861</v>
      </c>
      <c r="D1318" t="s">
        <v>3477</v>
      </c>
      <c r="E1318" t="s">
        <v>3477</v>
      </c>
    </row>
    <row r="1319" spans="1:5" ht="15" customHeight="1" x14ac:dyDescent="0.2">
      <c r="A1319" s="55" t="s">
        <v>850</v>
      </c>
      <c r="B1319" s="55" t="s">
        <v>851</v>
      </c>
      <c r="C1319" s="71" t="s">
        <v>852</v>
      </c>
      <c r="D1319" t="s">
        <v>3477</v>
      </c>
      <c r="E1319" t="s">
        <v>3477</v>
      </c>
    </row>
    <row r="1320" spans="1:5" ht="15" customHeight="1" x14ac:dyDescent="0.2">
      <c r="A1320" s="55" t="s">
        <v>855</v>
      </c>
      <c r="B1320" s="55" t="s">
        <v>856</v>
      </c>
      <c r="C1320" s="71" t="s">
        <v>857</v>
      </c>
      <c r="D1320" t="s">
        <v>3477</v>
      </c>
      <c r="E1320" t="s">
        <v>3477</v>
      </c>
    </row>
    <row r="1321" spans="1:5" ht="15" customHeight="1" x14ac:dyDescent="0.2">
      <c r="A1321" s="55" t="s">
        <v>859</v>
      </c>
      <c r="B1321" s="55" t="s">
        <v>859</v>
      </c>
      <c r="C1321" s="71" t="s">
        <v>862</v>
      </c>
      <c r="D1321" t="s">
        <v>3477</v>
      </c>
      <c r="E1321" t="s">
        <v>3477</v>
      </c>
    </row>
    <row r="1322" spans="1:5" ht="15" customHeight="1" x14ac:dyDescent="0.2">
      <c r="A1322" s="55" t="s">
        <v>865</v>
      </c>
      <c r="B1322" s="55" t="s">
        <v>865</v>
      </c>
      <c r="C1322" s="71" t="s">
        <v>866</v>
      </c>
      <c r="D1322" t="s">
        <v>3477</v>
      </c>
      <c r="E1322" t="s">
        <v>3477</v>
      </c>
    </row>
    <row r="1323" spans="1:5" ht="15" customHeight="1" x14ac:dyDescent="0.2">
      <c r="A1323" s="55" t="s">
        <v>864</v>
      </c>
      <c r="B1323" s="55" t="s">
        <v>860</v>
      </c>
      <c r="C1323" s="71" t="s">
        <v>863</v>
      </c>
      <c r="D1323" t="s">
        <v>3477</v>
      </c>
      <c r="E1323" t="s">
        <v>3477</v>
      </c>
    </row>
    <row r="1324" spans="1:5" ht="15" customHeight="1" x14ac:dyDescent="0.2">
      <c r="A1324" s="55" t="s">
        <v>867</v>
      </c>
      <c r="B1324" s="55" t="s">
        <v>867</v>
      </c>
      <c r="C1324" s="63" t="s">
        <v>868</v>
      </c>
      <c r="D1324" t="s">
        <v>3477</v>
      </c>
      <c r="E1324" t="s">
        <v>3477</v>
      </c>
    </row>
    <row r="1325" spans="1:5" ht="15" customHeight="1" x14ac:dyDescent="0.2">
      <c r="A1325" s="55" t="s">
        <v>869</v>
      </c>
      <c r="B1325" s="55" t="s">
        <v>869</v>
      </c>
      <c r="C1325" t="s">
        <v>870</v>
      </c>
      <c r="D1325" t="s">
        <v>3477</v>
      </c>
      <c r="E1325" t="s">
        <v>3477</v>
      </c>
    </row>
    <row r="1326" spans="1:5" ht="15" customHeight="1" x14ac:dyDescent="0.2">
      <c r="A1326" s="55" t="s">
        <v>871</v>
      </c>
      <c r="B1326" s="55" t="s">
        <v>871</v>
      </c>
      <c r="C1326" t="s">
        <v>872</v>
      </c>
      <c r="D1326" t="s">
        <v>3477</v>
      </c>
      <c r="E1326" t="s">
        <v>3477</v>
      </c>
    </row>
    <row r="1327" spans="1:5" ht="15" customHeight="1" x14ac:dyDescent="0.2">
      <c r="A1327" s="55" t="s">
        <v>873</v>
      </c>
      <c r="B1327" s="55" t="s">
        <v>873</v>
      </c>
      <c r="C1327" t="s">
        <v>876</v>
      </c>
      <c r="D1327" t="s">
        <v>3477</v>
      </c>
      <c r="E1327" t="s">
        <v>3477</v>
      </c>
    </row>
    <row r="1328" spans="1:5" ht="15" customHeight="1" x14ac:dyDescent="0.2">
      <c r="A1328" s="55" t="s">
        <v>874</v>
      </c>
      <c r="B1328" s="55" t="s">
        <v>874</v>
      </c>
      <c r="C1328" t="s">
        <v>876</v>
      </c>
      <c r="D1328" t="s">
        <v>3477</v>
      </c>
      <c r="E1328" t="s">
        <v>3477</v>
      </c>
    </row>
    <row r="1329" spans="1:5" ht="15" customHeight="1" x14ac:dyDescent="0.2">
      <c r="A1329" s="55" t="s">
        <v>875</v>
      </c>
      <c r="B1329" s="55" t="s">
        <v>875</v>
      </c>
      <c r="C1329" t="s">
        <v>877</v>
      </c>
      <c r="D1329" t="s">
        <v>3477</v>
      </c>
      <c r="E1329" t="s">
        <v>3477</v>
      </c>
    </row>
    <row r="1330" spans="1:5" ht="15" customHeight="1" x14ac:dyDescent="0.2">
      <c r="A1330" s="55" t="s">
        <v>878</v>
      </c>
      <c r="B1330" s="55" t="s">
        <v>878</v>
      </c>
      <c r="C1330" t="s">
        <v>882</v>
      </c>
      <c r="D1330" t="s">
        <v>3477</v>
      </c>
      <c r="E1330" t="s">
        <v>3477</v>
      </c>
    </row>
    <row r="1331" spans="1:5" ht="15" customHeight="1" x14ac:dyDescent="0.2">
      <c r="A1331" s="55" t="s">
        <v>879</v>
      </c>
      <c r="B1331" s="55" t="s">
        <v>879</v>
      </c>
      <c r="C1331" t="s">
        <v>883</v>
      </c>
      <c r="D1331" t="s">
        <v>3477</v>
      </c>
      <c r="E1331" t="s">
        <v>3477</v>
      </c>
    </row>
    <row r="1332" spans="1:5" ht="15" customHeight="1" x14ac:dyDescent="0.2">
      <c r="A1332" s="55" t="s">
        <v>880</v>
      </c>
      <c r="B1332" s="55" t="s">
        <v>880</v>
      </c>
      <c r="C1332" t="s">
        <v>884</v>
      </c>
      <c r="D1332" t="s">
        <v>3477</v>
      </c>
      <c r="E1332" t="s">
        <v>3477</v>
      </c>
    </row>
    <row r="1333" spans="1:5" ht="15" customHeight="1" x14ac:dyDescent="0.2">
      <c r="A1333" s="55" t="s">
        <v>881</v>
      </c>
      <c r="B1333" s="55" t="s">
        <v>881</v>
      </c>
      <c r="C1333" t="s">
        <v>885</v>
      </c>
      <c r="D1333" t="s">
        <v>3477</v>
      </c>
      <c r="E1333" t="s">
        <v>3477</v>
      </c>
    </row>
    <row r="1334" spans="1:5" ht="15" customHeight="1" x14ac:dyDescent="0.2">
      <c r="A1334" s="55" t="s">
        <v>3110</v>
      </c>
      <c r="B1334" s="55" t="s">
        <v>3110</v>
      </c>
      <c r="C1334" t="s">
        <v>3111</v>
      </c>
      <c r="D1334" t="s">
        <v>3477</v>
      </c>
      <c r="E1334" t="s">
        <v>3477</v>
      </c>
    </row>
    <row r="1335" spans="1:5" ht="15" customHeight="1" x14ac:dyDescent="0.2">
      <c r="A1335" s="55" t="s">
        <v>1409</v>
      </c>
      <c r="B1335" s="55" t="s">
        <v>1409</v>
      </c>
      <c r="C1335" t="s">
        <v>1410</v>
      </c>
      <c r="D1335" t="s">
        <v>3477</v>
      </c>
      <c r="E1335" t="s">
        <v>3477</v>
      </c>
    </row>
    <row r="1336" spans="1:5" ht="15" customHeight="1" x14ac:dyDescent="0.2">
      <c r="A1336" s="55">
        <v>113112</v>
      </c>
      <c r="B1336" s="55" t="s">
        <v>1459</v>
      </c>
      <c r="C1336" t="s">
        <v>1466</v>
      </c>
      <c r="D1336" t="s">
        <v>3477</v>
      </c>
      <c r="E1336" t="s">
        <v>3477</v>
      </c>
    </row>
    <row r="1337" spans="1:5" ht="15" customHeight="1" x14ac:dyDescent="0.2">
      <c r="A1337" s="55" t="s">
        <v>1453</v>
      </c>
      <c r="B1337" s="55" t="s">
        <v>1460</v>
      </c>
      <c r="C1337" t="s">
        <v>1467</v>
      </c>
      <c r="D1337" t="s">
        <v>3477</v>
      </c>
      <c r="E1337" t="s">
        <v>3477</v>
      </c>
    </row>
    <row r="1338" spans="1:5" ht="15" customHeight="1" x14ac:dyDescent="0.2">
      <c r="A1338" s="55" t="s">
        <v>1454</v>
      </c>
      <c r="B1338" s="55" t="s">
        <v>1461</v>
      </c>
      <c r="C1338" t="s">
        <v>1468</v>
      </c>
      <c r="D1338" t="s">
        <v>3477</v>
      </c>
      <c r="E1338" t="s">
        <v>3477</v>
      </c>
    </row>
    <row r="1339" spans="1:5" ht="15" customHeight="1" x14ac:dyDescent="0.2">
      <c r="A1339" s="55" t="s">
        <v>1455</v>
      </c>
      <c r="B1339" s="55" t="s">
        <v>1462</v>
      </c>
      <c r="C1339" t="s">
        <v>1469</v>
      </c>
      <c r="D1339" t="s">
        <v>3477</v>
      </c>
      <c r="E1339" t="s">
        <v>3477</v>
      </c>
    </row>
    <row r="1340" spans="1:5" ht="15" customHeight="1" x14ac:dyDescent="0.2">
      <c r="A1340" s="55" t="s">
        <v>1456</v>
      </c>
      <c r="B1340" s="55" t="s">
        <v>1463</v>
      </c>
      <c r="C1340" t="s">
        <v>1470</v>
      </c>
      <c r="D1340" t="s">
        <v>3477</v>
      </c>
      <c r="E1340" t="s">
        <v>3477</v>
      </c>
    </row>
    <row r="1341" spans="1:5" ht="15" customHeight="1" x14ac:dyDescent="0.2">
      <c r="A1341" s="55" t="s">
        <v>1457</v>
      </c>
      <c r="B1341" s="55" t="s">
        <v>1464</v>
      </c>
      <c r="C1341" t="s">
        <v>1471</v>
      </c>
      <c r="D1341" t="s">
        <v>3477</v>
      </c>
      <c r="E1341" t="s">
        <v>3477</v>
      </c>
    </row>
    <row r="1342" spans="1:5" ht="15" customHeight="1" x14ac:dyDescent="0.2">
      <c r="A1342" s="55" t="s">
        <v>1458</v>
      </c>
      <c r="B1342" s="55" t="s">
        <v>1465</v>
      </c>
      <c r="C1342" t="s">
        <v>1472</v>
      </c>
      <c r="D1342" t="s">
        <v>3477</v>
      </c>
      <c r="E1342" t="s">
        <v>3477</v>
      </c>
    </row>
    <row r="1343" spans="1:5" ht="15" customHeight="1" x14ac:dyDescent="0.2">
      <c r="A1343" s="55" t="s">
        <v>2880</v>
      </c>
      <c r="B1343" s="55" t="s">
        <v>1489</v>
      </c>
      <c r="C1343" t="s">
        <v>2881</v>
      </c>
      <c r="D1343" t="s">
        <v>3477</v>
      </c>
      <c r="E1343" t="s">
        <v>3477</v>
      </c>
    </row>
    <row r="1344" spans="1:5" ht="15" customHeight="1" x14ac:dyDescent="0.2">
      <c r="A1344" s="55" t="s">
        <v>1473</v>
      </c>
      <c r="B1344" s="55" t="s">
        <v>1490</v>
      </c>
      <c r="C1344" t="s">
        <v>1481</v>
      </c>
      <c r="D1344" t="s">
        <v>3477</v>
      </c>
      <c r="E1344" t="s">
        <v>3477</v>
      </c>
    </row>
    <row r="1345" spans="1:5" ht="15" customHeight="1" x14ac:dyDescent="0.2">
      <c r="A1345" s="55" t="s">
        <v>1474</v>
      </c>
      <c r="B1345" s="55" t="s">
        <v>1491</v>
      </c>
      <c r="C1345" t="s">
        <v>1482</v>
      </c>
      <c r="D1345" t="s">
        <v>3477</v>
      </c>
      <c r="E1345" t="s">
        <v>3477</v>
      </c>
    </row>
    <row r="1346" spans="1:5" ht="15" customHeight="1" x14ac:dyDescent="0.2">
      <c r="A1346" s="55" t="s">
        <v>2882</v>
      </c>
      <c r="B1346" s="55" t="s">
        <v>1492</v>
      </c>
      <c r="C1346" t="s">
        <v>2883</v>
      </c>
      <c r="D1346" t="s">
        <v>3477</v>
      </c>
      <c r="E1346" t="s">
        <v>3477</v>
      </c>
    </row>
    <row r="1347" spans="1:5" ht="15" customHeight="1" x14ac:dyDescent="0.2">
      <c r="A1347" s="55" t="s">
        <v>1475</v>
      </c>
      <c r="B1347" s="55" t="s">
        <v>1493</v>
      </c>
      <c r="C1347" t="s">
        <v>1483</v>
      </c>
      <c r="D1347" t="s">
        <v>3477</v>
      </c>
      <c r="E1347" t="s">
        <v>3477</v>
      </c>
    </row>
    <row r="1348" spans="1:5" ht="15" customHeight="1" x14ac:dyDescent="0.2">
      <c r="A1348" s="55" t="s">
        <v>1476</v>
      </c>
      <c r="B1348" s="55" t="s">
        <v>1494</v>
      </c>
      <c r="C1348" t="s">
        <v>1484</v>
      </c>
      <c r="D1348" t="s">
        <v>3477</v>
      </c>
      <c r="E1348" t="s">
        <v>3477</v>
      </c>
    </row>
    <row r="1349" spans="1:5" ht="15" customHeight="1" x14ac:dyDescent="0.2">
      <c r="A1349" s="55" t="s">
        <v>1477</v>
      </c>
      <c r="B1349" s="55" t="s">
        <v>1495</v>
      </c>
      <c r="C1349" t="s">
        <v>1485</v>
      </c>
      <c r="D1349" t="s">
        <v>3477</v>
      </c>
      <c r="E1349" t="s">
        <v>3477</v>
      </c>
    </row>
    <row r="1350" spans="1:5" ht="15" customHeight="1" x14ac:dyDescent="0.2">
      <c r="A1350" s="55" t="s">
        <v>2884</v>
      </c>
      <c r="B1350" s="55" t="s">
        <v>1496</v>
      </c>
      <c r="C1350" t="s">
        <v>2885</v>
      </c>
      <c r="D1350" t="s">
        <v>3477</v>
      </c>
      <c r="E1350" t="s">
        <v>3477</v>
      </c>
    </row>
    <row r="1351" spans="1:5" ht="15" customHeight="1" x14ac:dyDescent="0.2">
      <c r="A1351" s="55" t="s">
        <v>1478</v>
      </c>
      <c r="B1351" s="55" t="s">
        <v>1497</v>
      </c>
      <c r="C1351" t="s">
        <v>1486</v>
      </c>
      <c r="D1351" t="s">
        <v>3477</v>
      </c>
      <c r="E1351" t="s">
        <v>3477</v>
      </c>
    </row>
    <row r="1352" spans="1:5" ht="15" customHeight="1" x14ac:dyDescent="0.2">
      <c r="A1352" s="55" t="s">
        <v>1479</v>
      </c>
      <c r="B1352" s="55" t="s">
        <v>1498</v>
      </c>
      <c r="C1352" t="s">
        <v>1487</v>
      </c>
      <c r="D1352" t="s">
        <v>3477</v>
      </c>
      <c r="E1352" t="s">
        <v>3477</v>
      </c>
    </row>
    <row r="1353" spans="1:5" ht="15" customHeight="1" x14ac:dyDescent="0.2">
      <c r="A1353" s="55" t="s">
        <v>1480</v>
      </c>
      <c r="B1353" s="55" t="s">
        <v>1499</v>
      </c>
      <c r="C1353" t="s">
        <v>1488</v>
      </c>
      <c r="D1353" t="s">
        <v>3477</v>
      </c>
      <c r="E1353" t="s">
        <v>3477</v>
      </c>
    </row>
    <row r="1354" spans="1:5" ht="15" customHeight="1" x14ac:dyDescent="0.2">
      <c r="A1354" s="55" t="s">
        <v>2886</v>
      </c>
      <c r="B1354" s="55" t="s">
        <v>1500</v>
      </c>
      <c r="C1354" t="s">
        <v>2887</v>
      </c>
      <c r="D1354" t="s">
        <v>3477</v>
      </c>
      <c r="E1354" t="s">
        <v>3477</v>
      </c>
    </row>
    <row r="1355" spans="1:5" ht="15" customHeight="1" x14ac:dyDescent="0.2">
      <c r="A1355" s="55" t="s">
        <v>2888</v>
      </c>
      <c r="B1355" s="55" t="s">
        <v>1501</v>
      </c>
      <c r="C1355" t="s">
        <v>2889</v>
      </c>
      <c r="D1355" t="s">
        <v>3477</v>
      </c>
      <c r="E1355" t="s">
        <v>3477</v>
      </c>
    </row>
    <row r="1356" spans="1:5" ht="15" customHeight="1" x14ac:dyDescent="0.2">
      <c r="A1356" s="55" t="s">
        <v>2890</v>
      </c>
      <c r="B1356" s="55" t="s">
        <v>1502</v>
      </c>
      <c r="C1356" t="s">
        <v>2891</v>
      </c>
      <c r="D1356" t="s">
        <v>3477</v>
      </c>
      <c r="E1356" t="s">
        <v>3477</v>
      </c>
    </row>
    <row r="1357" spans="1:5" ht="15" customHeight="1" x14ac:dyDescent="0.2">
      <c r="A1357" s="55" t="s">
        <v>2892</v>
      </c>
      <c r="B1357" s="55" t="s">
        <v>1503</v>
      </c>
      <c r="C1357" t="s">
        <v>2893</v>
      </c>
      <c r="D1357" t="s">
        <v>3477</v>
      </c>
      <c r="E1357" t="s">
        <v>3477</v>
      </c>
    </row>
    <row r="1358" spans="1:5" ht="15" customHeight="1" x14ac:dyDescent="0.2">
      <c r="A1358" s="55" t="s">
        <v>2971</v>
      </c>
      <c r="B1358" s="55" t="s">
        <v>2971</v>
      </c>
      <c r="C1358" t="s">
        <v>2972</v>
      </c>
      <c r="D1358" t="s">
        <v>3477</v>
      </c>
      <c r="E1358" t="s">
        <v>3477</v>
      </c>
    </row>
    <row r="1359" spans="1:5" ht="15" customHeight="1" x14ac:dyDescent="0.2">
      <c r="A1359" s="55" t="s">
        <v>3021</v>
      </c>
      <c r="B1359" s="55" t="s">
        <v>3022</v>
      </c>
      <c r="C1359" t="s">
        <v>3023</v>
      </c>
      <c r="D1359" t="s">
        <v>3477</v>
      </c>
      <c r="E1359" t="s">
        <v>3477</v>
      </c>
    </row>
    <row r="1360" spans="1:5" ht="15" customHeight="1" x14ac:dyDescent="0.2">
      <c r="A1360" s="27">
        <v>9652</v>
      </c>
      <c r="B1360" s="55" t="s">
        <v>3606</v>
      </c>
      <c r="C1360" t="s">
        <v>3608</v>
      </c>
      <c r="D1360" t="s">
        <v>3477</v>
      </c>
      <c r="E1360" t="s">
        <v>3477</v>
      </c>
    </row>
    <row r="1361" spans="1:5" ht="15" customHeight="1" x14ac:dyDescent="0.2">
      <c r="A1361" s="27">
        <v>9625</v>
      </c>
      <c r="B1361" s="55" t="s">
        <v>3607</v>
      </c>
      <c r="C1361" t="s">
        <v>3609</v>
      </c>
      <c r="D1361" t="s">
        <v>3477</v>
      </c>
      <c r="E1361" t="s">
        <v>3477</v>
      </c>
    </row>
    <row r="1362" spans="1:5" ht="15" customHeight="1" x14ac:dyDescent="0.2">
      <c r="A1362" s="27" t="s">
        <v>3691</v>
      </c>
      <c r="B1362" s="55" t="s">
        <v>3691</v>
      </c>
      <c r="C1362" t="s">
        <v>3697</v>
      </c>
      <c r="D1362" t="s">
        <v>3477</v>
      </c>
      <c r="E1362" t="s">
        <v>3477</v>
      </c>
    </row>
    <row r="1363" spans="1:5" ht="15" customHeight="1" x14ac:dyDescent="0.2">
      <c r="A1363" s="27" t="s">
        <v>3693</v>
      </c>
      <c r="B1363" s="55" t="s">
        <v>3693</v>
      </c>
      <c r="C1363" t="s">
        <v>3698</v>
      </c>
      <c r="D1363" t="s">
        <v>3477</v>
      </c>
      <c r="E1363" t="s">
        <v>3477</v>
      </c>
    </row>
    <row r="1364" spans="1:5" ht="15" customHeight="1" x14ac:dyDescent="0.2">
      <c r="A1364" s="27" t="s">
        <v>3694</v>
      </c>
      <c r="B1364" s="55" t="s">
        <v>3694</v>
      </c>
      <c r="C1364" t="s">
        <v>3699</v>
      </c>
      <c r="D1364" t="s">
        <v>3477</v>
      </c>
      <c r="E1364" t="s">
        <v>3477</v>
      </c>
    </row>
    <row r="1365" spans="1:5" ht="15" customHeight="1" x14ac:dyDescent="0.2">
      <c r="A1365" s="27" t="s">
        <v>3695</v>
      </c>
      <c r="B1365" s="55" t="s">
        <v>3695</v>
      </c>
      <c r="C1365" t="s">
        <v>3696</v>
      </c>
      <c r="D1365" t="s">
        <v>3477</v>
      </c>
      <c r="E1365" t="s">
        <v>3477</v>
      </c>
    </row>
    <row r="1366" spans="1:5" ht="15" customHeight="1" x14ac:dyDescent="0.2">
      <c r="A1366" s="27" t="s">
        <v>3762</v>
      </c>
      <c r="B1366" s="55" t="s">
        <v>3762</v>
      </c>
      <c r="C1366" t="s">
        <v>3763</v>
      </c>
      <c r="D1366" t="s">
        <v>3477</v>
      </c>
      <c r="E1366" t="s">
        <v>3477</v>
      </c>
    </row>
    <row r="1367" spans="1:5" ht="15" customHeight="1" x14ac:dyDescent="0.2">
      <c r="A1367" s="27">
        <v>1007</v>
      </c>
      <c r="B1367" s="27">
        <v>1007</v>
      </c>
      <c r="C1367" t="s">
        <v>2838</v>
      </c>
      <c r="D1367" t="s">
        <v>3478</v>
      </c>
      <c r="E1367" t="s">
        <v>3479</v>
      </c>
    </row>
    <row r="1368" spans="1:5" ht="15" customHeight="1" x14ac:dyDescent="0.2">
      <c r="A1368" s="27">
        <v>8282</v>
      </c>
      <c r="B1368" s="27">
        <v>8282</v>
      </c>
      <c r="C1368" t="s">
        <v>2811</v>
      </c>
      <c r="D1368" t="s">
        <v>3478</v>
      </c>
      <c r="E1368" t="s">
        <v>3479</v>
      </c>
    </row>
    <row r="1369" spans="1:5" ht="15" customHeight="1" x14ac:dyDescent="0.2">
      <c r="A1369" s="27" t="s">
        <v>2812</v>
      </c>
      <c r="B1369" t="s">
        <v>2812</v>
      </c>
      <c r="C1369" t="s">
        <v>2813</v>
      </c>
      <c r="D1369" t="s">
        <v>3478</v>
      </c>
      <c r="E1369" t="s">
        <v>3479</v>
      </c>
    </row>
    <row r="1370" spans="1:5" ht="15" customHeight="1" x14ac:dyDescent="0.2">
      <c r="A1370" s="27" t="s">
        <v>2814</v>
      </c>
      <c r="B1370" t="s">
        <v>2814</v>
      </c>
      <c r="C1370" t="s">
        <v>2815</v>
      </c>
      <c r="D1370" t="s">
        <v>3478</v>
      </c>
      <c r="E1370" t="s">
        <v>3479</v>
      </c>
    </row>
    <row r="1371" spans="1:5" ht="15" customHeight="1" x14ac:dyDescent="0.2">
      <c r="A1371" s="27" t="s">
        <v>2816</v>
      </c>
      <c r="B1371" t="s">
        <v>2816</v>
      </c>
      <c r="C1371" t="s">
        <v>2817</v>
      </c>
      <c r="D1371" t="s">
        <v>3478</v>
      </c>
      <c r="E1371" t="s">
        <v>3479</v>
      </c>
    </row>
    <row r="1372" spans="1:5" ht="15" customHeight="1" x14ac:dyDescent="0.2">
      <c r="A1372" s="27" t="s">
        <v>2818</v>
      </c>
      <c r="B1372" t="s">
        <v>2818</v>
      </c>
      <c r="C1372" t="s">
        <v>2819</v>
      </c>
      <c r="D1372" t="s">
        <v>3478</v>
      </c>
      <c r="E1372" t="s">
        <v>3479</v>
      </c>
    </row>
    <row r="1373" spans="1:5" ht="15" customHeight="1" x14ac:dyDescent="0.2">
      <c r="A1373" s="27" t="s">
        <v>2820</v>
      </c>
      <c r="B1373" t="s">
        <v>2820</v>
      </c>
      <c r="C1373" t="s">
        <v>2821</v>
      </c>
      <c r="D1373" t="s">
        <v>3478</v>
      </c>
      <c r="E1373" t="s">
        <v>3479</v>
      </c>
    </row>
    <row r="1374" spans="1:5" ht="15" customHeight="1" x14ac:dyDescent="0.2">
      <c r="A1374" s="27" t="s">
        <v>2822</v>
      </c>
      <c r="B1374" t="s">
        <v>2822</v>
      </c>
      <c r="C1374" t="s">
        <v>2823</v>
      </c>
      <c r="D1374" t="s">
        <v>3478</v>
      </c>
      <c r="E1374" t="s">
        <v>3479</v>
      </c>
    </row>
    <row r="1375" spans="1:5" ht="15" customHeight="1" x14ac:dyDescent="0.2">
      <c r="A1375" s="27" t="s">
        <v>2824</v>
      </c>
      <c r="B1375" t="s">
        <v>2824</v>
      </c>
      <c r="C1375" t="s">
        <v>2825</v>
      </c>
      <c r="D1375" t="s">
        <v>3478</v>
      </c>
      <c r="E1375" t="s">
        <v>3479</v>
      </c>
    </row>
    <row r="1376" spans="1:5" ht="15" customHeight="1" x14ac:dyDescent="0.2">
      <c r="A1376" s="27" t="s">
        <v>2826</v>
      </c>
      <c r="B1376" t="s">
        <v>2826</v>
      </c>
      <c r="C1376" t="s">
        <v>2827</v>
      </c>
      <c r="D1376" t="s">
        <v>3478</v>
      </c>
      <c r="E1376" t="s">
        <v>3479</v>
      </c>
    </row>
    <row r="1377" spans="1:5" ht="15" customHeight="1" x14ac:dyDescent="0.2">
      <c r="A1377" s="27" t="s">
        <v>2828</v>
      </c>
      <c r="B1377" t="s">
        <v>2828</v>
      </c>
      <c r="C1377" t="s">
        <v>2829</v>
      </c>
      <c r="D1377" t="s">
        <v>3478</v>
      </c>
      <c r="E1377" t="s">
        <v>3479</v>
      </c>
    </row>
    <row r="1378" spans="1:5" ht="15" customHeight="1" x14ac:dyDescent="0.2">
      <c r="A1378" s="27" t="s">
        <v>2830</v>
      </c>
      <c r="B1378" t="s">
        <v>2830</v>
      </c>
      <c r="C1378" t="s">
        <v>2831</v>
      </c>
      <c r="D1378" t="s">
        <v>3478</v>
      </c>
      <c r="E1378" t="s">
        <v>3479</v>
      </c>
    </row>
    <row r="1379" spans="1:5" ht="15" customHeight="1" x14ac:dyDescent="0.2">
      <c r="A1379" s="27" t="s">
        <v>2832</v>
      </c>
      <c r="B1379" t="s">
        <v>2832</v>
      </c>
      <c r="C1379" t="s">
        <v>2833</v>
      </c>
      <c r="D1379" t="s">
        <v>3478</v>
      </c>
      <c r="E1379" t="s">
        <v>3479</v>
      </c>
    </row>
    <row r="1380" spans="1:5" ht="15" customHeight="1" x14ac:dyDescent="0.2">
      <c r="A1380" s="27" t="s">
        <v>2834</v>
      </c>
      <c r="B1380" t="s">
        <v>2834</v>
      </c>
      <c r="C1380" t="s">
        <v>2835</v>
      </c>
      <c r="D1380" t="s">
        <v>3478</v>
      </c>
      <c r="E1380" t="s">
        <v>3479</v>
      </c>
    </row>
    <row r="1381" spans="1:5" ht="15" customHeight="1" x14ac:dyDescent="0.2">
      <c r="A1381" s="27" t="s">
        <v>2836</v>
      </c>
      <c r="B1381" t="s">
        <v>2836</v>
      </c>
      <c r="C1381" t="s">
        <v>2837</v>
      </c>
      <c r="D1381" t="s">
        <v>3478</v>
      </c>
      <c r="E1381" t="s">
        <v>3479</v>
      </c>
    </row>
    <row r="1382" spans="1:5" ht="15" customHeight="1" x14ac:dyDescent="0.2">
      <c r="A1382" s="27" t="s">
        <v>1513</v>
      </c>
      <c r="B1382" t="s">
        <v>1513</v>
      </c>
      <c r="C1382" t="s">
        <v>1514</v>
      </c>
      <c r="D1382" t="s">
        <v>3478</v>
      </c>
      <c r="E1382" t="s">
        <v>3479</v>
      </c>
    </row>
    <row r="1383" spans="1:5" ht="15" customHeight="1" x14ac:dyDescent="0.2">
      <c r="A1383" s="27" t="s">
        <v>1515</v>
      </c>
      <c r="B1383" t="s">
        <v>1515</v>
      </c>
      <c r="C1383" t="s">
        <v>1516</v>
      </c>
      <c r="D1383" t="s">
        <v>3478</v>
      </c>
      <c r="E1383" t="s">
        <v>3479</v>
      </c>
    </row>
    <row r="1384" spans="1:5" ht="15" customHeight="1" x14ac:dyDescent="0.2">
      <c r="A1384" s="27" t="s">
        <v>1517</v>
      </c>
      <c r="B1384" t="s">
        <v>1517</v>
      </c>
      <c r="C1384" t="s">
        <v>1518</v>
      </c>
      <c r="D1384" t="s">
        <v>3478</v>
      </c>
      <c r="E1384" t="s">
        <v>3479</v>
      </c>
    </row>
    <row r="1385" spans="1:5" ht="15" customHeight="1" x14ac:dyDescent="0.2">
      <c r="A1385" s="27" t="s">
        <v>1519</v>
      </c>
      <c r="B1385" t="s">
        <v>1519</v>
      </c>
      <c r="C1385" t="s">
        <v>1520</v>
      </c>
      <c r="D1385" t="s">
        <v>3478</v>
      </c>
      <c r="E1385" t="s">
        <v>3479</v>
      </c>
    </row>
    <row r="1386" spans="1:5" ht="15" customHeight="1" x14ac:dyDescent="0.2">
      <c r="A1386" s="27" t="s">
        <v>1521</v>
      </c>
      <c r="B1386" t="s">
        <v>1521</v>
      </c>
      <c r="C1386" t="s">
        <v>1522</v>
      </c>
      <c r="D1386" t="s">
        <v>3478</v>
      </c>
      <c r="E1386" t="s">
        <v>3479</v>
      </c>
    </row>
    <row r="1387" spans="1:5" ht="15" customHeight="1" x14ac:dyDescent="0.2">
      <c r="A1387" s="27" t="s">
        <v>1523</v>
      </c>
      <c r="B1387" t="s">
        <v>1523</v>
      </c>
      <c r="C1387" t="s">
        <v>1524</v>
      </c>
      <c r="D1387" t="s">
        <v>3478</v>
      </c>
      <c r="E1387" t="s">
        <v>3479</v>
      </c>
    </row>
    <row r="1388" spans="1:5" ht="15" customHeight="1" x14ac:dyDescent="0.2">
      <c r="A1388" s="27" t="s">
        <v>1525</v>
      </c>
      <c r="B1388" t="s">
        <v>1525</v>
      </c>
      <c r="C1388" t="s">
        <v>1526</v>
      </c>
      <c r="D1388" t="s">
        <v>3478</v>
      </c>
      <c r="E1388" t="s">
        <v>3479</v>
      </c>
    </row>
    <row r="1389" spans="1:5" ht="15" customHeight="1" x14ac:dyDescent="0.2">
      <c r="A1389" s="27" t="s">
        <v>1527</v>
      </c>
      <c r="B1389" t="s">
        <v>1527</v>
      </c>
      <c r="C1389" t="s">
        <v>1528</v>
      </c>
      <c r="D1389" t="s">
        <v>3478</v>
      </c>
      <c r="E1389" t="s">
        <v>3479</v>
      </c>
    </row>
    <row r="1390" spans="1:5" ht="15" customHeight="1" x14ac:dyDescent="0.2">
      <c r="A1390" s="27" t="s">
        <v>1529</v>
      </c>
      <c r="B1390" t="s">
        <v>1529</v>
      </c>
      <c r="C1390" t="s">
        <v>1530</v>
      </c>
      <c r="D1390" t="s">
        <v>3478</v>
      </c>
      <c r="E1390" t="s">
        <v>3479</v>
      </c>
    </row>
    <row r="1391" spans="1:5" ht="15" customHeight="1" x14ac:dyDescent="0.2">
      <c r="A1391" s="27" t="s">
        <v>1531</v>
      </c>
      <c r="B1391" t="s">
        <v>1531</v>
      </c>
      <c r="C1391" t="s">
        <v>1532</v>
      </c>
      <c r="D1391" t="s">
        <v>3478</v>
      </c>
      <c r="E1391" t="s">
        <v>3479</v>
      </c>
    </row>
    <row r="1392" spans="1:5" ht="15" customHeight="1" x14ac:dyDescent="0.2">
      <c r="A1392" s="27" t="s">
        <v>1533</v>
      </c>
      <c r="B1392" t="s">
        <v>1533</v>
      </c>
      <c r="C1392" t="s">
        <v>1534</v>
      </c>
      <c r="D1392" t="s">
        <v>3478</v>
      </c>
      <c r="E1392" t="s">
        <v>3479</v>
      </c>
    </row>
    <row r="1393" spans="1:5" ht="15" customHeight="1" x14ac:dyDescent="0.2">
      <c r="A1393" s="27" t="s">
        <v>2873</v>
      </c>
      <c r="B1393" t="s">
        <v>2873</v>
      </c>
      <c r="C1393" t="s">
        <v>2874</v>
      </c>
      <c r="D1393" t="s">
        <v>3478</v>
      </c>
      <c r="E1393" t="s">
        <v>3479</v>
      </c>
    </row>
    <row r="1394" spans="1:5" ht="15" customHeight="1" x14ac:dyDescent="0.2">
      <c r="A1394" s="27" t="s">
        <v>2875</v>
      </c>
      <c r="B1394" t="s">
        <v>2875</v>
      </c>
      <c r="C1394" t="s">
        <v>2876</v>
      </c>
      <c r="D1394" t="s">
        <v>3478</v>
      </c>
      <c r="E1394" t="s">
        <v>3479</v>
      </c>
    </row>
    <row r="1395" spans="1:5" ht="15" customHeight="1" x14ac:dyDescent="0.2">
      <c r="A1395" s="27" t="s">
        <v>2877</v>
      </c>
      <c r="B1395" t="s">
        <v>2877</v>
      </c>
      <c r="C1395" t="s">
        <v>2878</v>
      </c>
      <c r="D1395" t="s">
        <v>3478</v>
      </c>
      <c r="E1395" t="s">
        <v>3479</v>
      </c>
    </row>
    <row r="1396" spans="1:5" ht="15" customHeight="1" x14ac:dyDescent="0.2">
      <c r="A1396" s="27" t="s">
        <v>2879</v>
      </c>
      <c r="B1396" t="s">
        <v>2879</v>
      </c>
      <c r="C1396" t="s">
        <v>1504</v>
      </c>
      <c r="D1396" t="s">
        <v>3478</v>
      </c>
      <c r="E1396" t="s">
        <v>3479</v>
      </c>
    </row>
    <row r="1397" spans="1:5" ht="15" customHeight="1" x14ac:dyDescent="0.2">
      <c r="A1397" s="27" t="s">
        <v>1505</v>
      </c>
      <c r="B1397" t="s">
        <v>1505</v>
      </c>
      <c r="C1397" t="s">
        <v>1506</v>
      </c>
      <c r="D1397" t="s">
        <v>3478</v>
      </c>
      <c r="E1397" t="s">
        <v>3479</v>
      </c>
    </row>
    <row r="1398" spans="1:5" ht="15" customHeight="1" x14ac:dyDescent="0.2">
      <c r="A1398" s="27" t="s">
        <v>1507</v>
      </c>
      <c r="B1398" t="s">
        <v>1507</v>
      </c>
      <c r="C1398" t="s">
        <v>1508</v>
      </c>
      <c r="D1398" t="s">
        <v>3478</v>
      </c>
      <c r="E1398" t="s">
        <v>3479</v>
      </c>
    </row>
    <row r="1399" spans="1:5" ht="15" customHeight="1" x14ac:dyDescent="0.2">
      <c r="A1399" s="27" t="s">
        <v>1509</v>
      </c>
      <c r="B1399" t="s">
        <v>1509</v>
      </c>
      <c r="C1399" t="s">
        <v>1510</v>
      </c>
      <c r="D1399" t="s">
        <v>3478</v>
      </c>
      <c r="E1399" t="s">
        <v>3479</v>
      </c>
    </row>
    <row r="1400" spans="1:5" ht="15" customHeight="1" x14ac:dyDescent="0.2">
      <c r="A1400" s="27" t="s">
        <v>1511</v>
      </c>
      <c r="B1400" t="s">
        <v>1511</v>
      </c>
      <c r="C1400" t="s">
        <v>1512</v>
      </c>
      <c r="D1400" t="s">
        <v>3478</v>
      </c>
      <c r="E1400" t="s">
        <v>3479</v>
      </c>
    </row>
    <row r="1401" spans="1:5" ht="15" customHeight="1" x14ac:dyDescent="0.2">
      <c r="A1401" s="27" t="s">
        <v>2843</v>
      </c>
      <c r="B1401" t="s">
        <v>2843</v>
      </c>
      <c r="C1401" t="s">
        <v>2844</v>
      </c>
      <c r="D1401" t="s">
        <v>3478</v>
      </c>
      <c r="E1401" t="s">
        <v>3479</v>
      </c>
    </row>
    <row r="1402" spans="1:5" ht="15" customHeight="1" x14ac:dyDescent="0.2">
      <c r="A1402" s="27" t="s">
        <v>2845</v>
      </c>
      <c r="B1402" t="s">
        <v>2845</v>
      </c>
      <c r="C1402" t="s">
        <v>2846</v>
      </c>
      <c r="D1402" t="s">
        <v>3478</v>
      </c>
      <c r="E1402" t="s">
        <v>3479</v>
      </c>
    </row>
    <row r="1403" spans="1:5" ht="15" customHeight="1" x14ac:dyDescent="0.2">
      <c r="A1403" s="27" t="s">
        <v>2847</v>
      </c>
      <c r="B1403" t="s">
        <v>2847</v>
      </c>
      <c r="C1403" t="s">
        <v>2848</v>
      </c>
      <c r="D1403" t="s">
        <v>3478</v>
      </c>
      <c r="E1403" t="s">
        <v>3479</v>
      </c>
    </row>
    <row r="1404" spans="1:5" ht="15" customHeight="1" x14ac:dyDescent="0.2">
      <c r="A1404" s="27" t="s">
        <v>2849</v>
      </c>
      <c r="B1404" t="s">
        <v>2849</v>
      </c>
      <c r="C1404" t="s">
        <v>2850</v>
      </c>
      <c r="D1404" t="s">
        <v>3478</v>
      </c>
      <c r="E1404" t="s">
        <v>3479</v>
      </c>
    </row>
    <row r="1405" spans="1:5" ht="15" customHeight="1" x14ac:dyDescent="0.2">
      <c r="A1405" s="27" t="s">
        <v>2851</v>
      </c>
      <c r="B1405" t="s">
        <v>2851</v>
      </c>
      <c r="C1405" t="s">
        <v>2852</v>
      </c>
      <c r="D1405" t="s">
        <v>3478</v>
      </c>
      <c r="E1405" t="s">
        <v>3479</v>
      </c>
    </row>
    <row r="1406" spans="1:5" ht="15" customHeight="1" x14ac:dyDescent="0.2">
      <c r="A1406" s="27" t="s">
        <v>2853</v>
      </c>
      <c r="B1406" t="s">
        <v>2853</v>
      </c>
      <c r="C1406" t="s">
        <v>2854</v>
      </c>
      <c r="D1406" t="s">
        <v>3478</v>
      </c>
      <c r="E1406" t="s">
        <v>3479</v>
      </c>
    </row>
    <row r="1407" spans="1:5" ht="15" customHeight="1" x14ac:dyDescent="0.2">
      <c r="A1407" s="27" t="s">
        <v>2855</v>
      </c>
      <c r="B1407" t="s">
        <v>2855</v>
      </c>
      <c r="C1407" t="s">
        <v>2856</v>
      </c>
      <c r="D1407" t="s">
        <v>3478</v>
      </c>
      <c r="E1407" t="s">
        <v>3479</v>
      </c>
    </row>
    <row r="1408" spans="1:5" ht="15" customHeight="1" x14ac:dyDescent="0.2">
      <c r="A1408" s="27" t="s">
        <v>2857</v>
      </c>
      <c r="B1408" t="s">
        <v>2857</v>
      </c>
      <c r="C1408" t="s">
        <v>2858</v>
      </c>
      <c r="D1408" t="s">
        <v>3478</v>
      </c>
      <c r="E1408" t="s">
        <v>3479</v>
      </c>
    </row>
    <row r="1409" spans="1:5" ht="15" customHeight="1" x14ac:dyDescent="0.2">
      <c r="A1409" s="27" t="s">
        <v>2859</v>
      </c>
      <c r="B1409" t="s">
        <v>2859</v>
      </c>
      <c r="C1409" t="s">
        <v>2860</v>
      </c>
      <c r="D1409" t="s">
        <v>3478</v>
      </c>
      <c r="E1409" t="s">
        <v>3479</v>
      </c>
    </row>
    <row r="1410" spans="1:5" ht="15" customHeight="1" x14ac:dyDescent="0.2">
      <c r="A1410" s="27" t="s">
        <v>2861</v>
      </c>
      <c r="B1410" t="s">
        <v>2861</v>
      </c>
      <c r="C1410" t="s">
        <v>2862</v>
      </c>
      <c r="D1410" t="s">
        <v>3478</v>
      </c>
      <c r="E1410" t="s">
        <v>3479</v>
      </c>
    </row>
    <row r="1411" spans="1:5" ht="15" customHeight="1" x14ac:dyDescent="0.2">
      <c r="A1411" s="27" t="s">
        <v>2863</v>
      </c>
      <c r="B1411" t="s">
        <v>2863</v>
      </c>
      <c r="C1411" t="s">
        <v>2864</v>
      </c>
      <c r="D1411" t="s">
        <v>3478</v>
      </c>
      <c r="E1411" t="s">
        <v>3479</v>
      </c>
    </row>
    <row r="1412" spans="1:5" ht="15" customHeight="1" x14ac:dyDescent="0.2">
      <c r="A1412" s="27" t="s">
        <v>2865</v>
      </c>
      <c r="B1412" t="s">
        <v>2865</v>
      </c>
      <c r="C1412" t="s">
        <v>2866</v>
      </c>
      <c r="D1412" t="s">
        <v>3478</v>
      </c>
      <c r="E1412" t="s">
        <v>3479</v>
      </c>
    </row>
    <row r="1413" spans="1:5" ht="15" customHeight="1" x14ac:dyDescent="0.2">
      <c r="A1413" s="27" t="s">
        <v>2867</v>
      </c>
      <c r="B1413" t="s">
        <v>2867</v>
      </c>
      <c r="C1413" t="s">
        <v>2868</v>
      </c>
      <c r="D1413" t="s">
        <v>3478</v>
      </c>
      <c r="E1413" t="s">
        <v>3479</v>
      </c>
    </row>
    <row r="1414" spans="1:5" ht="15" customHeight="1" x14ac:dyDescent="0.2">
      <c r="A1414" s="27" t="s">
        <v>2869</v>
      </c>
      <c r="B1414" t="s">
        <v>2869</v>
      </c>
      <c r="C1414" t="s">
        <v>2870</v>
      </c>
      <c r="D1414" t="s">
        <v>3478</v>
      </c>
      <c r="E1414" t="s">
        <v>3479</v>
      </c>
    </row>
    <row r="1415" spans="1:5" ht="15" customHeight="1" x14ac:dyDescent="0.2">
      <c r="A1415" s="27" t="s">
        <v>2871</v>
      </c>
      <c r="B1415" t="s">
        <v>2871</v>
      </c>
      <c r="C1415" t="s">
        <v>2872</v>
      </c>
      <c r="D1415" t="s">
        <v>3478</v>
      </c>
      <c r="E1415" t="s">
        <v>3479</v>
      </c>
    </row>
    <row r="1416" spans="1:5" ht="15" customHeight="1" x14ac:dyDescent="0.2">
      <c r="A1416" s="27" t="s">
        <v>2839</v>
      </c>
      <c r="B1416" t="s">
        <v>2839</v>
      </c>
      <c r="C1416" t="s">
        <v>2840</v>
      </c>
      <c r="D1416" t="s">
        <v>3478</v>
      </c>
      <c r="E1416" t="s">
        <v>3479</v>
      </c>
    </row>
    <row r="1417" spans="1:5" ht="15" customHeight="1" x14ac:dyDescent="0.2">
      <c r="A1417" s="27" t="s">
        <v>2841</v>
      </c>
      <c r="B1417" t="s">
        <v>2841</v>
      </c>
      <c r="C1417" t="s">
        <v>2842</v>
      </c>
      <c r="D1417" t="s">
        <v>3478</v>
      </c>
      <c r="E1417" t="s">
        <v>3479</v>
      </c>
    </row>
    <row r="1418" spans="1:5" ht="15" customHeight="1" x14ac:dyDescent="0.2">
      <c r="A1418" s="27">
        <v>1880</v>
      </c>
      <c r="B1418">
        <v>1880</v>
      </c>
      <c r="C1418" t="s">
        <v>2717</v>
      </c>
      <c r="D1418" t="s">
        <v>3478</v>
      </c>
      <c r="E1418" t="s">
        <v>3479</v>
      </c>
    </row>
    <row r="1419" spans="1:5" ht="15" customHeight="1" x14ac:dyDescent="0.2">
      <c r="A1419" s="27" t="s">
        <v>927</v>
      </c>
      <c r="B1419" s="27" t="s">
        <v>927</v>
      </c>
      <c r="C1419" t="s">
        <v>3039</v>
      </c>
      <c r="D1419" t="s">
        <v>3478</v>
      </c>
      <c r="E1419" t="s">
        <v>3479</v>
      </c>
    </row>
    <row r="1420" spans="1:5" ht="15" customHeight="1" x14ac:dyDescent="0.2">
      <c r="A1420" s="27" t="s">
        <v>3115</v>
      </c>
      <c r="B1420" s="27" t="s">
        <v>3116</v>
      </c>
      <c r="C1420" t="s">
        <v>3117</v>
      </c>
      <c r="D1420" t="s">
        <v>3478</v>
      </c>
      <c r="E1420" t="s">
        <v>3479</v>
      </c>
    </row>
    <row r="1421" spans="1:5" ht="15" customHeight="1" x14ac:dyDescent="0.2">
      <c r="A1421" s="27" t="s">
        <v>3687</v>
      </c>
      <c r="B1421" s="27" t="s">
        <v>3687</v>
      </c>
      <c r="C1421" t="s">
        <v>3688</v>
      </c>
      <c r="D1421" t="s">
        <v>3478</v>
      </c>
      <c r="E1421" t="s">
        <v>3479</v>
      </c>
    </row>
    <row r="1422" spans="1:5" ht="14.25" customHeight="1" x14ac:dyDescent="0.2">
      <c r="A1422" s="27" t="s">
        <v>1544</v>
      </c>
      <c r="B1422" t="s">
        <v>1544</v>
      </c>
      <c r="C1422" t="s">
        <v>1545</v>
      </c>
      <c r="D1422" t="s">
        <v>1535</v>
      </c>
      <c r="E1422" t="s">
        <v>2675</v>
      </c>
    </row>
    <row r="1423" spans="1:5" ht="15" customHeight="1" x14ac:dyDescent="0.2">
      <c r="A1423" s="27" t="s">
        <v>1546</v>
      </c>
      <c r="B1423" t="s">
        <v>1546</v>
      </c>
      <c r="C1423" t="s">
        <v>1547</v>
      </c>
      <c r="D1423" t="s">
        <v>1535</v>
      </c>
      <c r="E1423" t="s">
        <v>2675</v>
      </c>
    </row>
    <row r="1424" spans="1:5" ht="15" customHeight="1" x14ac:dyDescent="0.2">
      <c r="A1424" s="27" t="s">
        <v>1536</v>
      </c>
      <c r="B1424" t="s">
        <v>1536</v>
      </c>
      <c r="C1424" t="s">
        <v>1537</v>
      </c>
      <c r="D1424" t="s">
        <v>1535</v>
      </c>
      <c r="E1424" t="s">
        <v>2675</v>
      </c>
    </row>
    <row r="1425" spans="1:5" ht="15" customHeight="1" x14ac:dyDescent="0.2">
      <c r="A1425" s="27" t="s">
        <v>1538</v>
      </c>
      <c r="B1425" t="s">
        <v>1538</v>
      </c>
      <c r="C1425" t="s">
        <v>1539</v>
      </c>
      <c r="D1425" t="s">
        <v>1535</v>
      </c>
      <c r="E1425" t="s">
        <v>2675</v>
      </c>
    </row>
    <row r="1426" spans="1:5" ht="15" customHeight="1" x14ac:dyDescent="0.2">
      <c r="A1426" s="27" t="s">
        <v>1540</v>
      </c>
      <c r="B1426" t="s">
        <v>1540</v>
      </c>
      <c r="C1426" t="s">
        <v>1541</v>
      </c>
      <c r="D1426" t="s">
        <v>1535</v>
      </c>
      <c r="E1426" t="s">
        <v>2675</v>
      </c>
    </row>
    <row r="1427" spans="1:5" ht="15" customHeight="1" x14ac:dyDescent="0.2">
      <c r="A1427" s="27" t="s">
        <v>1542</v>
      </c>
      <c r="B1427" t="s">
        <v>1542</v>
      </c>
      <c r="C1427" t="s">
        <v>1543</v>
      </c>
      <c r="D1427" t="s">
        <v>1535</v>
      </c>
      <c r="E1427" t="s">
        <v>2675</v>
      </c>
    </row>
    <row r="1428" spans="1:5" ht="15" customHeight="1" x14ac:dyDescent="0.2">
      <c r="A1428" s="27" t="s">
        <v>1301</v>
      </c>
      <c r="B1428" t="s">
        <v>1301</v>
      </c>
      <c r="C1428" t="s">
        <v>1302</v>
      </c>
      <c r="D1428" t="s">
        <v>3491</v>
      </c>
      <c r="E1428" t="s">
        <v>3491</v>
      </c>
    </row>
    <row r="1429" spans="1:5" ht="15" customHeight="1" x14ac:dyDescent="0.2">
      <c r="A1429" s="27" t="s">
        <v>1297</v>
      </c>
      <c r="B1429" t="s">
        <v>1297</v>
      </c>
      <c r="C1429" t="s">
        <v>1298</v>
      </c>
      <c r="D1429" t="s">
        <v>3491</v>
      </c>
      <c r="E1429" t="s">
        <v>3491</v>
      </c>
    </row>
    <row r="1430" spans="1:5" ht="15" customHeight="1" x14ac:dyDescent="0.2">
      <c r="A1430" s="27" t="s">
        <v>1299</v>
      </c>
      <c r="B1430" t="s">
        <v>1299</v>
      </c>
      <c r="C1430" t="s">
        <v>1300</v>
      </c>
      <c r="D1430" t="s">
        <v>3491</v>
      </c>
      <c r="E1430" t="s">
        <v>3491</v>
      </c>
    </row>
    <row r="1431" spans="1:5" ht="15" customHeight="1" x14ac:dyDescent="0.2">
      <c r="A1431" s="27" t="s">
        <v>1749</v>
      </c>
      <c r="B1431" t="s">
        <v>1824</v>
      </c>
      <c r="C1431" t="s">
        <v>1750</v>
      </c>
      <c r="D1431" t="s">
        <v>1751</v>
      </c>
      <c r="E1431" t="s">
        <v>1751</v>
      </c>
    </row>
    <row r="1432" spans="1:5" ht="15" customHeight="1" x14ac:dyDescent="0.2">
      <c r="A1432" s="27">
        <v>9</v>
      </c>
      <c r="B1432">
        <v>9</v>
      </c>
      <c r="C1432" t="s">
        <v>1274</v>
      </c>
      <c r="D1432" t="s">
        <v>3480</v>
      </c>
      <c r="E1432" t="s">
        <v>3480</v>
      </c>
    </row>
    <row r="1433" spans="1:5" ht="15" customHeight="1" x14ac:dyDescent="0.2">
      <c r="A1433" s="27">
        <v>11</v>
      </c>
      <c r="B1433">
        <v>11</v>
      </c>
      <c r="C1433" t="s">
        <v>1275</v>
      </c>
      <c r="D1433" t="s">
        <v>3480</v>
      </c>
      <c r="E1433" t="s">
        <v>3480</v>
      </c>
    </row>
    <row r="1434" spans="1:5" ht="15" customHeight="1" x14ac:dyDescent="0.2">
      <c r="A1434" s="27">
        <v>27</v>
      </c>
      <c r="B1434">
        <v>27</v>
      </c>
      <c r="C1434" t="s">
        <v>1276</v>
      </c>
      <c r="D1434" t="s">
        <v>3480</v>
      </c>
      <c r="E1434" t="s">
        <v>3480</v>
      </c>
    </row>
    <row r="1435" spans="1:5" ht="15" customHeight="1" x14ac:dyDescent="0.2">
      <c r="A1435" s="27">
        <v>165</v>
      </c>
      <c r="B1435">
        <v>165</v>
      </c>
      <c r="C1435" t="s">
        <v>1269</v>
      </c>
      <c r="D1435" t="s">
        <v>3480</v>
      </c>
      <c r="E1435" t="s">
        <v>3480</v>
      </c>
    </row>
    <row r="1436" spans="1:5" ht="15" customHeight="1" x14ac:dyDescent="0.2">
      <c r="A1436" s="27">
        <v>185</v>
      </c>
      <c r="B1436">
        <v>185</v>
      </c>
      <c r="C1436" t="s">
        <v>1270</v>
      </c>
      <c r="D1436" t="s">
        <v>3480</v>
      </c>
      <c r="E1436" t="s">
        <v>3480</v>
      </c>
    </row>
    <row r="1437" spans="1:5" ht="15" customHeight="1" x14ac:dyDescent="0.2">
      <c r="A1437" s="27">
        <v>303</v>
      </c>
      <c r="B1437">
        <v>303</v>
      </c>
      <c r="C1437" t="s">
        <v>1251</v>
      </c>
      <c r="D1437" t="s">
        <v>3480</v>
      </c>
      <c r="E1437" t="s">
        <v>3480</v>
      </c>
    </row>
    <row r="1438" spans="1:5" ht="15" customHeight="1" x14ac:dyDescent="0.2">
      <c r="A1438" s="27">
        <v>595</v>
      </c>
      <c r="B1438">
        <v>595</v>
      </c>
      <c r="C1438" t="s">
        <v>1241</v>
      </c>
      <c r="D1438" t="s">
        <v>3480</v>
      </c>
      <c r="E1438" t="s">
        <v>3480</v>
      </c>
    </row>
    <row r="1439" spans="1:5" ht="15" customHeight="1" x14ac:dyDescent="0.2">
      <c r="A1439" s="27">
        <v>597</v>
      </c>
      <c r="B1439">
        <v>597</v>
      </c>
      <c r="C1439" t="s">
        <v>1242</v>
      </c>
      <c r="D1439" t="s">
        <v>3480</v>
      </c>
      <c r="E1439" t="s">
        <v>3480</v>
      </c>
    </row>
    <row r="1440" spans="1:5" ht="15" customHeight="1" x14ac:dyDescent="0.2">
      <c r="A1440" s="27">
        <v>1000</v>
      </c>
      <c r="B1440">
        <v>1000</v>
      </c>
      <c r="C1440" t="s">
        <v>1271</v>
      </c>
      <c r="D1440" t="s">
        <v>3480</v>
      </c>
      <c r="E1440" t="s">
        <v>3480</v>
      </c>
    </row>
    <row r="1441" spans="1:5" ht="15" customHeight="1" x14ac:dyDescent="0.2">
      <c r="A1441" s="27">
        <v>1521</v>
      </c>
      <c r="B1441">
        <v>1521</v>
      </c>
      <c r="C1441" t="s">
        <v>1268</v>
      </c>
      <c r="D1441" t="s">
        <v>3480</v>
      </c>
      <c r="E1441" t="s">
        <v>3480</v>
      </c>
    </row>
    <row r="1442" spans="1:5" ht="15" customHeight="1" x14ac:dyDescent="0.2">
      <c r="A1442" s="27">
        <v>1998</v>
      </c>
      <c r="B1442">
        <v>1998</v>
      </c>
      <c r="C1442" t="s">
        <v>2700</v>
      </c>
      <c r="D1442" t="s">
        <v>3480</v>
      </c>
      <c r="E1442" t="s">
        <v>3480</v>
      </c>
    </row>
    <row r="1443" spans="1:5" ht="15" customHeight="1" x14ac:dyDescent="0.2">
      <c r="A1443" s="27">
        <v>2403</v>
      </c>
      <c r="B1443">
        <v>2403</v>
      </c>
      <c r="C1443" t="s">
        <v>1244</v>
      </c>
      <c r="D1443" t="s">
        <v>3480</v>
      </c>
      <c r="E1443" t="s">
        <v>3480</v>
      </c>
    </row>
    <row r="1444" spans="1:5" ht="15" customHeight="1" x14ac:dyDescent="0.2">
      <c r="A1444" s="27">
        <v>2803</v>
      </c>
      <c r="B1444">
        <v>2803</v>
      </c>
      <c r="C1444" t="s">
        <v>1245</v>
      </c>
      <c r="D1444" t="s">
        <v>3480</v>
      </c>
      <c r="E1444" t="s">
        <v>3480</v>
      </c>
    </row>
    <row r="1445" spans="1:5" ht="15" customHeight="1" x14ac:dyDescent="0.2">
      <c r="A1445" s="27">
        <v>2806</v>
      </c>
      <c r="B1445">
        <v>2806</v>
      </c>
      <c r="C1445" t="s">
        <v>1246</v>
      </c>
      <c r="D1445" t="s">
        <v>3480</v>
      </c>
      <c r="E1445" t="s">
        <v>3480</v>
      </c>
    </row>
    <row r="1446" spans="1:5" ht="15" customHeight="1" x14ac:dyDescent="0.2">
      <c r="A1446" s="27">
        <v>2809</v>
      </c>
      <c r="B1446">
        <v>2809</v>
      </c>
      <c r="C1446" t="s">
        <v>1247</v>
      </c>
      <c r="D1446" t="s">
        <v>3480</v>
      </c>
      <c r="E1446" t="s">
        <v>3480</v>
      </c>
    </row>
    <row r="1447" spans="1:5" ht="15" customHeight="1" x14ac:dyDescent="0.2">
      <c r="A1447" s="27">
        <v>2816</v>
      </c>
      <c r="B1447">
        <v>2816</v>
      </c>
      <c r="C1447" t="s">
        <v>1248</v>
      </c>
      <c r="D1447" t="s">
        <v>3480</v>
      </c>
      <c r="E1447" t="s">
        <v>3480</v>
      </c>
    </row>
    <row r="1448" spans="1:5" ht="15" customHeight="1" x14ac:dyDescent="0.2">
      <c r="A1448" s="27">
        <v>2903</v>
      </c>
      <c r="B1448">
        <v>2903</v>
      </c>
      <c r="C1448" t="s">
        <v>665</v>
      </c>
      <c r="D1448" t="s">
        <v>3480</v>
      </c>
      <c r="E1448" t="s">
        <v>3480</v>
      </c>
    </row>
    <row r="1449" spans="1:5" ht="15" customHeight="1" x14ac:dyDescent="0.2">
      <c r="A1449" s="27">
        <v>3023</v>
      </c>
      <c r="B1449">
        <v>3023</v>
      </c>
      <c r="C1449" t="s">
        <v>1250</v>
      </c>
      <c r="D1449" t="s">
        <v>3480</v>
      </c>
      <c r="E1449" t="s">
        <v>3480</v>
      </c>
    </row>
    <row r="1450" spans="1:5" ht="15" customHeight="1" x14ac:dyDescent="0.2">
      <c r="A1450" s="27">
        <v>3100</v>
      </c>
      <c r="B1450">
        <v>3100</v>
      </c>
      <c r="C1450" t="s">
        <v>1252</v>
      </c>
      <c r="D1450" t="s">
        <v>3480</v>
      </c>
      <c r="E1450" t="s">
        <v>3480</v>
      </c>
    </row>
    <row r="1451" spans="1:5" ht="15" customHeight="1" x14ac:dyDescent="0.2">
      <c r="A1451" s="27">
        <v>3223</v>
      </c>
      <c r="B1451">
        <v>3223</v>
      </c>
      <c r="C1451" t="s">
        <v>1253</v>
      </c>
      <c r="D1451" t="s">
        <v>3480</v>
      </c>
      <c r="E1451" t="s">
        <v>3480</v>
      </c>
    </row>
    <row r="1452" spans="1:5" ht="15" customHeight="1" x14ac:dyDescent="0.2">
      <c r="A1452" s="27">
        <v>3225</v>
      </c>
      <c r="B1452">
        <v>3225</v>
      </c>
      <c r="C1452" t="s">
        <v>1254</v>
      </c>
      <c r="D1452" t="s">
        <v>3480</v>
      </c>
      <c r="E1452" t="s">
        <v>3480</v>
      </c>
    </row>
    <row r="1453" spans="1:5" ht="15" customHeight="1" x14ac:dyDescent="0.2">
      <c r="A1453" s="27">
        <v>3700</v>
      </c>
      <c r="B1453">
        <v>3700</v>
      </c>
      <c r="C1453" t="s">
        <v>1255</v>
      </c>
      <c r="D1453" t="s">
        <v>3480</v>
      </c>
      <c r="E1453" t="s">
        <v>3480</v>
      </c>
    </row>
    <row r="1454" spans="1:5" ht="15" customHeight="1" x14ac:dyDescent="0.2">
      <c r="A1454" s="27">
        <v>4600</v>
      </c>
      <c r="B1454">
        <v>4600</v>
      </c>
      <c r="C1454" t="s">
        <v>1258</v>
      </c>
      <c r="D1454" t="s">
        <v>3480</v>
      </c>
      <c r="E1454" t="s">
        <v>3480</v>
      </c>
    </row>
    <row r="1455" spans="1:5" ht="15" customHeight="1" x14ac:dyDescent="0.2">
      <c r="A1455" s="27">
        <v>5303</v>
      </c>
      <c r="B1455">
        <v>5303</v>
      </c>
      <c r="C1455" t="s">
        <v>1266</v>
      </c>
      <c r="D1455" t="s">
        <v>3480</v>
      </c>
      <c r="E1455" t="s">
        <v>3480</v>
      </c>
    </row>
    <row r="1456" spans="1:5" ht="15" customHeight="1" x14ac:dyDescent="0.2">
      <c r="A1456" s="27">
        <v>533</v>
      </c>
      <c r="B1456">
        <v>533</v>
      </c>
      <c r="C1456" t="s">
        <v>789</v>
      </c>
      <c r="D1456" t="s">
        <v>3480</v>
      </c>
      <c r="E1456" t="s">
        <v>3480</v>
      </c>
    </row>
    <row r="1457" spans="1:5" ht="15" customHeight="1" x14ac:dyDescent="0.2">
      <c r="A1457" s="27">
        <v>5333</v>
      </c>
      <c r="B1457">
        <v>5333</v>
      </c>
      <c r="C1457" t="s">
        <v>789</v>
      </c>
      <c r="D1457" t="s">
        <v>3480</v>
      </c>
      <c r="E1457" t="s">
        <v>3480</v>
      </c>
    </row>
    <row r="1458" spans="1:5" ht="15" customHeight="1" x14ac:dyDescent="0.2">
      <c r="A1458" s="27">
        <v>5338</v>
      </c>
      <c r="B1458">
        <v>5338</v>
      </c>
      <c r="C1458" t="s">
        <v>1267</v>
      </c>
      <c r="D1458" t="s">
        <v>3480</v>
      </c>
      <c r="E1458" t="s">
        <v>3480</v>
      </c>
    </row>
    <row r="1459" spans="1:5" ht="15" customHeight="1" x14ac:dyDescent="0.2">
      <c r="A1459" s="27">
        <v>5773</v>
      </c>
      <c r="B1459">
        <v>5773</v>
      </c>
      <c r="C1459" t="s">
        <v>1239</v>
      </c>
      <c r="D1459" t="s">
        <v>3480</v>
      </c>
      <c r="E1459" t="s">
        <v>3480</v>
      </c>
    </row>
    <row r="1460" spans="1:5" ht="15" customHeight="1" x14ac:dyDescent="0.2">
      <c r="A1460" s="27">
        <v>5778</v>
      </c>
      <c r="B1460">
        <v>5778</v>
      </c>
      <c r="C1460" t="s">
        <v>1240</v>
      </c>
      <c r="D1460" t="s">
        <v>3480</v>
      </c>
      <c r="E1460" t="s">
        <v>3480</v>
      </c>
    </row>
    <row r="1461" spans="1:5" ht="15" customHeight="1" x14ac:dyDescent="0.2">
      <c r="A1461" s="27">
        <v>7100</v>
      </c>
      <c r="B1461">
        <v>7100</v>
      </c>
      <c r="C1461" t="s">
        <v>1229</v>
      </c>
      <c r="D1461" t="s">
        <v>3480</v>
      </c>
      <c r="E1461" t="s">
        <v>3480</v>
      </c>
    </row>
    <row r="1462" spans="1:5" ht="15" customHeight="1" x14ac:dyDescent="0.2">
      <c r="A1462" s="27">
        <v>7223</v>
      </c>
      <c r="B1462">
        <v>7223</v>
      </c>
      <c r="C1462" t="s">
        <v>1230</v>
      </c>
      <c r="D1462" t="s">
        <v>3480</v>
      </c>
      <c r="E1462" t="s">
        <v>3480</v>
      </c>
    </row>
    <row r="1463" spans="1:5" ht="15" customHeight="1" x14ac:dyDescent="0.2">
      <c r="A1463" s="27">
        <v>7229</v>
      </c>
      <c r="B1463">
        <v>7229</v>
      </c>
      <c r="C1463" t="s">
        <v>64</v>
      </c>
      <c r="D1463" t="s">
        <v>3480</v>
      </c>
      <c r="E1463" t="s">
        <v>3480</v>
      </c>
    </row>
    <row r="1464" spans="1:5" ht="15" customHeight="1" x14ac:dyDescent="0.2">
      <c r="A1464" s="27">
        <v>7900</v>
      </c>
      <c r="B1464">
        <v>7900</v>
      </c>
      <c r="C1464" t="s">
        <v>1231</v>
      </c>
      <c r="D1464" t="s">
        <v>3480</v>
      </c>
      <c r="E1464" t="s">
        <v>3480</v>
      </c>
    </row>
    <row r="1465" spans="1:5" ht="15" customHeight="1" x14ac:dyDescent="0.2">
      <c r="A1465" s="27">
        <v>8029</v>
      </c>
      <c r="B1465">
        <v>8029</v>
      </c>
      <c r="C1465" t="s">
        <v>1232</v>
      </c>
      <c r="D1465" t="s">
        <v>3480</v>
      </c>
      <c r="E1465" t="s">
        <v>3480</v>
      </c>
    </row>
    <row r="1466" spans="1:5" ht="15" customHeight="1" x14ac:dyDescent="0.2">
      <c r="A1466" s="27">
        <v>8200</v>
      </c>
      <c r="B1466">
        <v>8200</v>
      </c>
      <c r="C1466" t="s">
        <v>1233</v>
      </c>
      <c r="D1466" t="s">
        <v>3480</v>
      </c>
      <c r="E1466" t="s">
        <v>3480</v>
      </c>
    </row>
    <row r="1467" spans="1:5" ht="15" customHeight="1" x14ac:dyDescent="0.2">
      <c r="A1467" s="27">
        <v>9000</v>
      </c>
      <c r="B1467">
        <v>9000</v>
      </c>
      <c r="C1467" t="s">
        <v>1234</v>
      </c>
      <c r="D1467" t="s">
        <v>3480</v>
      </c>
      <c r="E1467" t="s">
        <v>3480</v>
      </c>
    </row>
    <row r="1468" spans="1:5" ht="15" customHeight="1" x14ac:dyDescent="0.2">
      <c r="A1468" s="27">
        <v>9007</v>
      </c>
      <c r="B1468">
        <v>9007</v>
      </c>
      <c r="C1468" t="s">
        <v>1235</v>
      </c>
      <c r="D1468" t="s">
        <v>3480</v>
      </c>
      <c r="E1468" t="s">
        <v>3480</v>
      </c>
    </row>
    <row r="1469" spans="1:5" ht="15" customHeight="1" x14ac:dyDescent="0.2">
      <c r="A1469" s="27">
        <v>9103</v>
      </c>
      <c r="B1469">
        <v>9103</v>
      </c>
      <c r="C1469" t="s">
        <v>674</v>
      </c>
      <c r="D1469" t="s">
        <v>3480</v>
      </c>
      <c r="E1469" t="s">
        <v>3480</v>
      </c>
    </row>
    <row r="1470" spans="1:5" ht="15" customHeight="1" x14ac:dyDescent="0.2">
      <c r="A1470" s="27">
        <v>9106</v>
      </c>
      <c r="B1470">
        <v>9106</v>
      </c>
      <c r="C1470" t="s">
        <v>1236</v>
      </c>
      <c r="D1470" t="s">
        <v>3480</v>
      </c>
      <c r="E1470" t="s">
        <v>3480</v>
      </c>
    </row>
    <row r="1471" spans="1:5" ht="15" customHeight="1" x14ac:dyDescent="0.2">
      <c r="A1471" s="27">
        <v>9200</v>
      </c>
      <c r="B1471">
        <v>9200</v>
      </c>
      <c r="C1471" t="s">
        <v>1237</v>
      </c>
      <c r="D1471" t="s">
        <v>3480</v>
      </c>
      <c r="E1471" t="s">
        <v>3480</v>
      </c>
    </row>
    <row r="1472" spans="1:5" ht="15" customHeight="1" x14ac:dyDescent="0.2">
      <c r="A1472" s="27">
        <v>9800</v>
      </c>
      <c r="B1472">
        <v>9800</v>
      </c>
      <c r="C1472" t="s">
        <v>1238</v>
      </c>
      <c r="D1472" t="s">
        <v>3480</v>
      </c>
      <c r="E1472" t="s">
        <v>3480</v>
      </c>
    </row>
    <row r="1473" spans="1:5" ht="15" customHeight="1" x14ac:dyDescent="0.2">
      <c r="A1473" s="27">
        <v>29014</v>
      </c>
      <c r="B1473">
        <v>29014</v>
      </c>
      <c r="C1473" t="s">
        <v>1249</v>
      </c>
      <c r="D1473" t="s">
        <v>3480</v>
      </c>
      <c r="E1473" t="s">
        <v>3480</v>
      </c>
    </row>
    <row r="1474" spans="1:5" ht="15" customHeight="1" x14ac:dyDescent="0.2">
      <c r="A1474" s="27">
        <v>39010</v>
      </c>
      <c r="B1474">
        <v>39010</v>
      </c>
      <c r="C1474" t="s">
        <v>909</v>
      </c>
      <c r="D1474" t="s">
        <v>3480</v>
      </c>
      <c r="E1474" t="s">
        <v>3480</v>
      </c>
    </row>
    <row r="1475" spans="1:5" ht="15" customHeight="1" x14ac:dyDescent="0.2">
      <c r="A1475" s="27">
        <v>43403</v>
      </c>
      <c r="B1475">
        <v>43403</v>
      </c>
      <c r="C1475" t="s">
        <v>1256</v>
      </c>
      <c r="D1475" t="s">
        <v>3480</v>
      </c>
      <c r="E1475" t="s">
        <v>3480</v>
      </c>
    </row>
    <row r="1476" spans="1:5" ht="15" customHeight="1" x14ac:dyDescent="0.2">
      <c r="A1476" s="27">
        <v>43406</v>
      </c>
      <c r="B1476">
        <v>43406</v>
      </c>
      <c r="C1476" t="s">
        <v>1257</v>
      </c>
      <c r="D1476" t="s">
        <v>3480</v>
      </c>
      <c r="E1476" t="s">
        <v>3480</v>
      </c>
    </row>
    <row r="1477" spans="1:5" ht="15" customHeight="1" x14ac:dyDescent="0.2">
      <c r="A1477" s="27">
        <v>50127</v>
      </c>
      <c r="B1477">
        <v>50127</v>
      </c>
      <c r="C1477" t="s">
        <v>1259</v>
      </c>
      <c r="D1477" t="s">
        <v>3480</v>
      </c>
      <c r="E1477" t="s">
        <v>3480</v>
      </c>
    </row>
    <row r="1478" spans="1:5" ht="15" customHeight="1" x14ac:dyDescent="0.2">
      <c r="A1478" s="27">
        <v>50205</v>
      </c>
      <c r="B1478">
        <v>50205</v>
      </c>
      <c r="C1478" t="s">
        <v>1260</v>
      </c>
      <c r="D1478" t="s">
        <v>3480</v>
      </c>
      <c r="E1478" t="s">
        <v>3480</v>
      </c>
    </row>
    <row r="1479" spans="1:5" ht="15" customHeight="1" x14ac:dyDescent="0.2">
      <c r="A1479" s="27">
        <v>50206</v>
      </c>
      <c r="B1479">
        <v>50206</v>
      </c>
      <c r="C1479" t="s">
        <v>1261</v>
      </c>
      <c r="D1479" t="s">
        <v>3480</v>
      </c>
      <c r="E1479" t="s">
        <v>3480</v>
      </c>
    </row>
    <row r="1480" spans="1:5" ht="15" customHeight="1" x14ac:dyDescent="0.2">
      <c r="A1480" s="27">
        <v>50383</v>
      </c>
      <c r="B1480">
        <v>50383</v>
      </c>
      <c r="C1480" t="s">
        <v>1262</v>
      </c>
      <c r="D1480" t="s">
        <v>3480</v>
      </c>
      <c r="E1480" t="s">
        <v>3480</v>
      </c>
    </row>
    <row r="1481" spans="1:5" ht="15" customHeight="1" x14ac:dyDescent="0.2">
      <c r="A1481" s="27">
        <v>50396</v>
      </c>
      <c r="B1481">
        <v>50396</v>
      </c>
      <c r="C1481" t="s">
        <v>1263</v>
      </c>
      <c r="D1481" t="s">
        <v>3480</v>
      </c>
      <c r="E1481" t="s">
        <v>3480</v>
      </c>
    </row>
    <row r="1482" spans="1:5" ht="15" customHeight="1" x14ac:dyDescent="0.2">
      <c r="A1482" s="27">
        <v>50403</v>
      </c>
      <c r="B1482">
        <v>50403</v>
      </c>
      <c r="C1482" t="s">
        <v>1264</v>
      </c>
      <c r="D1482" t="s">
        <v>3480</v>
      </c>
      <c r="E1482" t="s">
        <v>3480</v>
      </c>
    </row>
    <row r="1483" spans="1:5" ht="15" customHeight="1" x14ac:dyDescent="0.2">
      <c r="A1483" s="27">
        <v>51021</v>
      </c>
      <c r="B1483">
        <v>51021</v>
      </c>
      <c r="C1483" t="s">
        <v>1265</v>
      </c>
      <c r="D1483" t="s">
        <v>3480</v>
      </c>
      <c r="E1483" t="s">
        <v>3480</v>
      </c>
    </row>
    <row r="1484" spans="1:5" ht="15" customHeight="1" x14ac:dyDescent="0.2">
      <c r="A1484" s="27">
        <v>63016</v>
      </c>
      <c r="B1484">
        <v>63016</v>
      </c>
      <c r="C1484" t="s">
        <v>1243</v>
      </c>
      <c r="D1484" t="s">
        <v>3480</v>
      </c>
      <c r="E1484" t="s">
        <v>3480</v>
      </c>
    </row>
    <row r="1485" spans="1:5" ht="15" customHeight="1" x14ac:dyDescent="0.2">
      <c r="A1485" s="27" t="s">
        <v>1272</v>
      </c>
      <c r="B1485" t="s">
        <v>1272</v>
      </c>
      <c r="C1485" t="s">
        <v>1273</v>
      </c>
      <c r="D1485" t="s">
        <v>3480</v>
      </c>
      <c r="E1485" t="s">
        <v>3480</v>
      </c>
    </row>
    <row r="1486" spans="1:5" ht="15" customHeight="1" x14ac:dyDescent="0.2">
      <c r="A1486" s="27">
        <v>6112</v>
      </c>
      <c r="B1486">
        <v>6112</v>
      </c>
      <c r="C1486" t="s">
        <v>1752</v>
      </c>
      <c r="D1486" t="s">
        <v>3480</v>
      </c>
      <c r="E1486" t="s">
        <v>3480</v>
      </c>
    </row>
    <row r="1487" spans="1:5" ht="15" customHeight="1" x14ac:dyDescent="0.2">
      <c r="A1487" s="27" t="s">
        <v>5</v>
      </c>
      <c r="B1487" t="s">
        <v>5</v>
      </c>
      <c r="C1487" t="s">
        <v>6</v>
      </c>
      <c r="D1487" t="s">
        <v>3480</v>
      </c>
      <c r="E1487" t="s">
        <v>3480</v>
      </c>
    </row>
    <row r="1488" spans="1:5" ht="15" customHeight="1" x14ac:dyDescent="0.2">
      <c r="A1488" s="27">
        <v>9700</v>
      </c>
      <c r="B1488">
        <v>9700</v>
      </c>
      <c r="C1488" t="s">
        <v>3016</v>
      </c>
      <c r="D1488" t="s">
        <v>3480</v>
      </c>
      <c r="E1488" t="s">
        <v>3480</v>
      </c>
    </row>
    <row r="1489" spans="1:5" ht="15" customHeight="1" x14ac:dyDescent="0.2">
      <c r="A1489" s="27">
        <v>9600</v>
      </c>
      <c r="B1489">
        <v>9600</v>
      </c>
      <c r="C1489" t="s">
        <v>3017</v>
      </c>
      <c r="D1489" t="s">
        <v>3480</v>
      </c>
      <c r="E1489" t="s">
        <v>3480</v>
      </c>
    </row>
    <row r="1490" spans="1:5" ht="15" customHeight="1" x14ac:dyDescent="0.2">
      <c r="A1490" s="27">
        <v>80</v>
      </c>
      <c r="B1490">
        <v>80</v>
      </c>
      <c r="C1490" t="s">
        <v>164</v>
      </c>
      <c r="D1490" t="s">
        <v>3480</v>
      </c>
      <c r="E1490" t="s">
        <v>3480</v>
      </c>
    </row>
    <row r="1491" spans="1:5" ht="15" customHeight="1" x14ac:dyDescent="0.2">
      <c r="A1491" s="27">
        <v>308</v>
      </c>
      <c r="B1491" s="27">
        <v>308</v>
      </c>
      <c r="C1491" t="s">
        <v>2432</v>
      </c>
      <c r="D1491" t="s">
        <v>3480</v>
      </c>
      <c r="E1491" t="s">
        <v>3480</v>
      </c>
    </row>
    <row r="1492" spans="1:5" ht="15" customHeight="1" x14ac:dyDescent="0.2">
      <c r="A1492">
        <v>501</v>
      </c>
      <c r="B1492">
        <v>501</v>
      </c>
      <c r="C1492" t="s">
        <v>2394</v>
      </c>
      <c r="D1492" t="s">
        <v>3480</v>
      </c>
      <c r="E1492" t="s">
        <v>3480</v>
      </c>
    </row>
    <row r="1493" spans="1:5" ht="15" customHeight="1" x14ac:dyDescent="0.2">
      <c r="A1493">
        <v>502</v>
      </c>
      <c r="B1493">
        <v>502</v>
      </c>
      <c r="C1493" t="s">
        <v>2395</v>
      </c>
      <c r="D1493" t="s">
        <v>3480</v>
      </c>
      <c r="E1493" t="s">
        <v>3480</v>
      </c>
    </row>
    <row r="1494" spans="1:5" ht="15" customHeight="1" x14ac:dyDescent="0.2">
      <c r="A1494">
        <v>505</v>
      </c>
      <c r="B1494">
        <v>505</v>
      </c>
      <c r="C1494" t="s">
        <v>2396</v>
      </c>
      <c r="D1494" t="s">
        <v>3480</v>
      </c>
      <c r="E1494" t="s">
        <v>3480</v>
      </c>
    </row>
    <row r="1495" spans="1:5" ht="15" customHeight="1" x14ac:dyDescent="0.2">
      <c r="A1495">
        <v>507</v>
      </c>
      <c r="B1495">
        <v>507</v>
      </c>
      <c r="C1495" t="s">
        <v>2397</v>
      </c>
      <c r="D1495" t="s">
        <v>3480</v>
      </c>
      <c r="E1495" t="s">
        <v>3480</v>
      </c>
    </row>
    <row r="1496" spans="1:5" ht="15" customHeight="1" x14ac:dyDescent="0.2">
      <c r="A1496">
        <v>9009</v>
      </c>
      <c r="B1496">
        <v>9009</v>
      </c>
      <c r="C1496" t="s">
        <v>2398</v>
      </c>
      <c r="D1496" t="s">
        <v>3480</v>
      </c>
      <c r="E1496" t="s">
        <v>3480</v>
      </c>
    </row>
    <row r="1497" spans="1:5" ht="15" customHeight="1" x14ac:dyDescent="0.2">
      <c r="A1497" s="27">
        <v>10031</v>
      </c>
      <c r="B1497" s="27">
        <v>10031</v>
      </c>
      <c r="C1497" t="s">
        <v>2433</v>
      </c>
      <c r="D1497" t="s">
        <v>3480</v>
      </c>
      <c r="E1497" t="s">
        <v>3480</v>
      </c>
    </row>
    <row r="1498" spans="1:5" ht="15" customHeight="1" x14ac:dyDescent="0.2">
      <c r="A1498" s="59">
        <v>10063</v>
      </c>
      <c r="B1498" s="59">
        <v>10063</v>
      </c>
      <c r="C1498" t="s">
        <v>2399</v>
      </c>
      <c r="D1498" t="s">
        <v>3480</v>
      </c>
      <c r="E1498" t="s">
        <v>3480</v>
      </c>
    </row>
    <row r="1499" spans="1:5" ht="15" customHeight="1" x14ac:dyDescent="0.2">
      <c r="A1499" s="59">
        <v>10071</v>
      </c>
      <c r="B1499" s="59">
        <v>10071</v>
      </c>
      <c r="C1499" t="s">
        <v>2399</v>
      </c>
      <c r="D1499" t="s">
        <v>3480</v>
      </c>
      <c r="E1499" t="s">
        <v>3480</v>
      </c>
    </row>
    <row r="1500" spans="1:5" ht="15" customHeight="1" x14ac:dyDescent="0.2">
      <c r="A1500" s="59">
        <v>10072</v>
      </c>
      <c r="B1500" s="59">
        <v>10072</v>
      </c>
      <c r="C1500" t="s">
        <v>2400</v>
      </c>
      <c r="D1500" t="s">
        <v>3480</v>
      </c>
      <c r="E1500" t="s">
        <v>3480</v>
      </c>
    </row>
    <row r="1501" spans="1:5" ht="15" customHeight="1" x14ac:dyDescent="0.2">
      <c r="A1501" s="59">
        <v>10073</v>
      </c>
      <c r="B1501" s="59">
        <v>10073</v>
      </c>
      <c r="C1501" t="s">
        <v>2400</v>
      </c>
      <c r="D1501" t="s">
        <v>3480</v>
      </c>
      <c r="E1501" t="s">
        <v>3480</v>
      </c>
    </row>
    <row r="1502" spans="1:5" ht="15" customHeight="1" x14ac:dyDescent="0.2">
      <c r="A1502" s="27">
        <v>10078</v>
      </c>
      <c r="B1502" s="27">
        <v>10078</v>
      </c>
      <c r="C1502" t="s">
        <v>2401</v>
      </c>
      <c r="D1502" t="s">
        <v>3480</v>
      </c>
      <c r="E1502" t="s">
        <v>3480</v>
      </c>
    </row>
    <row r="1503" spans="1:5" ht="15" customHeight="1" x14ac:dyDescent="0.2">
      <c r="A1503" s="27">
        <v>21010</v>
      </c>
      <c r="B1503" s="27">
        <v>21010</v>
      </c>
      <c r="C1503" t="s">
        <v>2286</v>
      </c>
      <c r="D1503" t="s">
        <v>3480</v>
      </c>
      <c r="E1503" t="s">
        <v>3480</v>
      </c>
    </row>
    <row r="1504" spans="1:5" ht="15" customHeight="1" x14ac:dyDescent="0.2">
      <c r="A1504">
        <v>50036</v>
      </c>
      <c r="B1504">
        <v>50036</v>
      </c>
      <c r="C1504" t="s">
        <v>2402</v>
      </c>
      <c r="D1504" t="s">
        <v>3480</v>
      </c>
      <c r="E1504" t="s">
        <v>3480</v>
      </c>
    </row>
    <row r="1505" spans="1:5" ht="15" customHeight="1" x14ac:dyDescent="0.2">
      <c r="A1505">
        <v>50037</v>
      </c>
      <c r="B1505">
        <v>50037</v>
      </c>
      <c r="C1505" t="s">
        <v>2402</v>
      </c>
      <c r="D1505" t="s">
        <v>3480</v>
      </c>
      <c r="E1505" t="s">
        <v>3480</v>
      </c>
    </row>
    <row r="1506" spans="1:5" ht="15" customHeight="1" x14ac:dyDescent="0.2">
      <c r="A1506">
        <v>50390</v>
      </c>
      <c r="B1506">
        <v>50390</v>
      </c>
      <c r="C1506" t="s">
        <v>2403</v>
      </c>
      <c r="D1506" t="s">
        <v>3480</v>
      </c>
      <c r="E1506" t="s">
        <v>3480</v>
      </c>
    </row>
    <row r="1507" spans="1:5" ht="15" customHeight="1" x14ac:dyDescent="0.2">
      <c r="A1507">
        <v>50390</v>
      </c>
      <c r="B1507">
        <v>50390</v>
      </c>
      <c r="C1507" t="s">
        <v>2403</v>
      </c>
      <c r="D1507" t="s">
        <v>3480</v>
      </c>
      <c r="E1507" t="s">
        <v>3480</v>
      </c>
    </row>
    <row r="1508" spans="1:5" ht="15" customHeight="1" x14ac:dyDescent="0.2">
      <c r="A1508">
        <v>50397</v>
      </c>
      <c r="B1508">
        <v>50397</v>
      </c>
      <c r="C1508" t="s">
        <v>2404</v>
      </c>
      <c r="D1508" t="s">
        <v>3480</v>
      </c>
      <c r="E1508" t="s">
        <v>3480</v>
      </c>
    </row>
    <row r="1509" spans="1:5" ht="15" customHeight="1" x14ac:dyDescent="0.2">
      <c r="A1509">
        <v>50537</v>
      </c>
      <c r="B1509">
        <v>50537</v>
      </c>
      <c r="C1509" t="s">
        <v>2707</v>
      </c>
      <c r="D1509" t="s">
        <v>3480</v>
      </c>
      <c r="E1509" t="s">
        <v>3480</v>
      </c>
    </row>
    <row r="1510" spans="1:5" ht="15" customHeight="1" x14ac:dyDescent="0.2">
      <c r="A1510">
        <v>2906</v>
      </c>
      <c r="B1510">
        <v>2906</v>
      </c>
      <c r="C1510" t="s">
        <v>682</v>
      </c>
      <c r="D1510" t="s">
        <v>3480</v>
      </c>
      <c r="E1510" t="s">
        <v>3480</v>
      </c>
    </row>
    <row r="1511" spans="1:5" ht="15" customHeight="1" x14ac:dyDescent="0.2">
      <c r="A1511">
        <v>44003</v>
      </c>
      <c r="B1511">
        <v>44003</v>
      </c>
      <c r="C1511" t="s">
        <v>683</v>
      </c>
      <c r="D1511" t="s">
        <v>3480</v>
      </c>
      <c r="E1511" t="s">
        <v>3480</v>
      </c>
    </row>
    <row r="1512" spans="1:5" ht="15" customHeight="1" x14ac:dyDescent="0.2">
      <c r="A1512">
        <v>5703</v>
      </c>
      <c r="B1512">
        <v>5703</v>
      </c>
      <c r="C1512" t="s">
        <v>684</v>
      </c>
      <c r="D1512" t="s">
        <v>3480</v>
      </c>
      <c r="E1512" t="s">
        <v>3480</v>
      </c>
    </row>
    <row r="1513" spans="1:5" ht="15" customHeight="1" x14ac:dyDescent="0.2">
      <c r="A1513">
        <v>613</v>
      </c>
      <c r="B1513">
        <v>613</v>
      </c>
      <c r="C1513" t="s">
        <v>766</v>
      </c>
      <c r="D1513" t="s">
        <v>3480</v>
      </c>
      <c r="E1513" t="s">
        <v>3480</v>
      </c>
    </row>
    <row r="1514" spans="1:5" ht="15" customHeight="1" x14ac:dyDescent="0.2">
      <c r="A1514">
        <v>618</v>
      </c>
      <c r="B1514">
        <v>618</v>
      </c>
      <c r="C1514" t="s">
        <v>767</v>
      </c>
      <c r="D1514" t="s">
        <v>3480</v>
      </c>
      <c r="E1514" t="s">
        <v>3480</v>
      </c>
    </row>
    <row r="1515" spans="1:5" ht="15" customHeight="1" x14ac:dyDescent="0.2">
      <c r="A1515">
        <v>50538</v>
      </c>
      <c r="B1515">
        <v>50538</v>
      </c>
      <c r="C1515" t="s">
        <v>827</v>
      </c>
      <c r="D1515" t="s">
        <v>3480</v>
      </c>
      <c r="E1515" t="s">
        <v>3480</v>
      </c>
    </row>
    <row r="1516" spans="1:5" ht="15" customHeight="1" x14ac:dyDescent="0.2">
      <c r="A1516">
        <v>538</v>
      </c>
      <c r="B1516">
        <v>538</v>
      </c>
      <c r="C1516" t="s">
        <v>838</v>
      </c>
      <c r="D1516" t="s">
        <v>3480</v>
      </c>
      <c r="E1516" t="s">
        <v>3480</v>
      </c>
    </row>
    <row r="1517" spans="1:5" ht="15" customHeight="1" x14ac:dyDescent="0.2">
      <c r="A1517">
        <v>539</v>
      </c>
      <c r="B1517">
        <v>539</v>
      </c>
      <c r="C1517" t="s">
        <v>840</v>
      </c>
      <c r="D1517" t="s">
        <v>3480</v>
      </c>
      <c r="E1517" t="s">
        <v>3480</v>
      </c>
    </row>
    <row r="1518" spans="1:5" ht="15" customHeight="1" x14ac:dyDescent="0.2">
      <c r="A1518">
        <v>50378</v>
      </c>
      <c r="B1518">
        <v>50378</v>
      </c>
      <c r="C1518" t="s">
        <v>853</v>
      </c>
      <c r="D1518" t="s">
        <v>3480</v>
      </c>
      <c r="E1518" t="s">
        <v>3480</v>
      </c>
    </row>
    <row r="1519" spans="1:5" ht="15" customHeight="1" x14ac:dyDescent="0.2">
      <c r="A1519">
        <v>50359</v>
      </c>
      <c r="B1519">
        <v>50359</v>
      </c>
      <c r="C1519" t="s">
        <v>854</v>
      </c>
      <c r="D1519" t="s">
        <v>3480</v>
      </c>
      <c r="E1519" t="s">
        <v>3480</v>
      </c>
    </row>
    <row r="1520" spans="1:5" ht="15" customHeight="1" x14ac:dyDescent="0.2">
      <c r="A1520">
        <v>570</v>
      </c>
      <c r="B1520">
        <v>570</v>
      </c>
      <c r="C1520" t="s">
        <v>913</v>
      </c>
      <c r="D1520" t="s">
        <v>3480</v>
      </c>
      <c r="E1520" t="s">
        <v>3480</v>
      </c>
    </row>
    <row r="1521" spans="1:5" ht="15" customHeight="1" x14ac:dyDescent="0.2">
      <c r="A1521">
        <v>610</v>
      </c>
      <c r="B1521">
        <v>610</v>
      </c>
      <c r="C1521" t="s">
        <v>914</v>
      </c>
      <c r="D1521" t="s">
        <v>3480</v>
      </c>
      <c r="E1521" t="s">
        <v>3480</v>
      </c>
    </row>
    <row r="1522" spans="1:5" ht="15" customHeight="1" x14ac:dyDescent="0.2">
      <c r="A1522">
        <v>188</v>
      </c>
      <c r="B1522">
        <v>188</v>
      </c>
      <c r="C1522" t="s">
        <v>3072</v>
      </c>
      <c r="D1522" t="s">
        <v>3073</v>
      </c>
      <c r="E1522" t="s">
        <v>3073</v>
      </c>
    </row>
    <row r="1523" spans="1:5" ht="15" customHeight="1" x14ac:dyDescent="0.2">
      <c r="A1523">
        <v>189</v>
      </c>
      <c r="B1523">
        <v>189</v>
      </c>
      <c r="C1523" t="s">
        <v>3074</v>
      </c>
      <c r="D1523" t="s">
        <v>3073</v>
      </c>
      <c r="E1523" t="s">
        <v>3073</v>
      </c>
    </row>
    <row r="1524" spans="1:5" ht="15" customHeight="1" x14ac:dyDescent="0.2">
      <c r="A1524">
        <v>570</v>
      </c>
      <c r="B1524">
        <v>570</v>
      </c>
      <c r="C1524" t="s">
        <v>3075</v>
      </c>
      <c r="D1524" t="s">
        <v>3073</v>
      </c>
      <c r="E1524" t="s">
        <v>3073</v>
      </c>
    </row>
    <row r="1525" spans="1:5" ht="15" customHeight="1" x14ac:dyDescent="0.2">
      <c r="A1525">
        <v>578</v>
      </c>
      <c r="B1525">
        <v>578</v>
      </c>
      <c r="C1525" t="s">
        <v>3076</v>
      </c>
      <c r="D1525" t="s">
        <v>3073</v>
      </c>
      <c r="E1525" t="s">
        <v>3073</v>
      </c>
    </row>
    <row r="1526" spans="1:5" ht="15" customHeight="1" x14ac:dyDescent="0.2">
      <c r="A1526">
        <v>579</v>
      </c>
      <c r="B1526">
        <v>579</v>
      </c>
      <c r="C1526" t="s">
        <v>3077</v>
      </c>
      <c r="D1526" t="s">
        <v>3073</v>
      </c>
      <c r="E1526" t="s">
        <v>3073</v>
      </c>
    </row>
    <row r="1527" spans="1:5" ht="15" customHeight="1" x14ac:dyDescent="0.2">
      <c r="A1527">
        <v>539</v>
      </c>
      <c r="B1527">
        <v>539</v>
      </c>
      <c r="C1527" t="s">
        <v>3078</v>
      </c>
      <c r="D1527" t="s">
        <v>3073</v>
      </c>
      <c r="E1527" t="s">
        <v>3073</v>
      </c>
    </row>
    <row r="1528" spans="1:5" ht="15" customHeight="1" x14ac:dyDescent="0.2">
      <c r="A1528">
        <v>538</v>
      </c>
      <c r="B1528">
        <v>538</v>
      </c>
      <c r="C1528" t="s">
        <v>3079</v>
      </c>
      <c r="D1528" t="s">
        <v>3073</v>
      </c>
      <c r="E1528" t="s">
        <v>3073</v>
      </c>
    </row>
    <row r="1529" spans="1:5" ht="15" customHeight="1" x14ac:dyDescent="0.2">
      <c r="A1529">
        <v>619</v>
      </c>
      <c r="B1529">
        <v>619</v>
      </c>
      <c r="C1529" t="s">
        <v>3080</v>
      </c>
      <c r="D1529" t="s">
        <v>3073</v>
      </c>
      <c r="E1529" t="s">
        <v>3073</v>
      </c>
    </row>
    <row r="1530" spans="1:5" ht="15" customHeight="1" x14ac:dyDescent="0.2">
      <c r="A1530">
        <v>10074</v>
      </c>
      <c r="B1530">
        <v>10074</v>
      </c>
      <c r="C1530" t="s">
        <v>3081</v>
      </c>
      <c r="D1530" t="s">
        <v>3073</v>
      </c>
      <c r="E1530" t="s">
        <v>3073</v>
      </c>
    </row>
    <row r="1531" spans="1:5" ht="15" customHeight="1" x14ac:dyDescent="0.2">
      <c r="A1531">
        <v>183</v>
      </c>
      <c r="B1531">
        <v>183</v>
      </c>
      <c r="C1531" t="s">
        <v>3082</v>
      </c>
      <c r="D1531" t="s">
        <v>3073</v>
      </c>
      <c r="E1531" t="s">
        <v>3073</v>
      </c>
    </row>
    <row r="1532" spans="1:5" ht="15" customHeight="1" x14ac:dyDescent="0.2">
      <c r="A1532">
        <v>573</v>
      </c>
      <c r="B1532">
        <v>573</v>
      </c>
      <c r="C1532" t="s">
        <v>3083</v>
      </c>
      <c r="D1532" t="s">
        <v>3073</v>
      </c>
      <c r="E1532" t="s">
        <v>3073</v>
      </c>
    </row>
    <row r="1533" spans="1:5" ht="15" customHeight="1" x14ac:dyDescent="0.2">
      <c r="A1533">
        <v>575</v>
      </c>
      <c r="B1533">
        <v>575</v>
      </c>
      <c r="C1533" t="s">
        <v>3084</v>
      </c>
      <c r="D1533" t="s">
        <v>3073</v>
      </c>
      <c r="E1533" t="s">
        <v>3073</v>
      </c>
    </row>
    <row r="1534" spans="1:5" ht="15" customHeight="1" x14ac:dyDescent="0.2">
      <c r="A1534">
        <v>191</v>
      </c>
      <c r="B1534">
        <v>191</v>
      </c>
      <c r="C1534" t="s">
        <v>3085</v>
      </c>
      <c r="D1534" t="s">
        <v>3073</v>
      </c>
      <c r="E1534" t="s">
        <v>3073</v>
      </c>
    </row>
    <row r="1535" spans="1:5" ht="15" customHeight="1" x14ac:dyDescent="0.2">
      <c r="A1535">
        <v>193</v>
      </c>
      <c r="B1535">
        <v>193</v>
      </c>
      <c r="C1535" t="s">
        <v>3086</v>
      </c>
      <c r="D1535" t="s">
        <v>3073</v>
      </c>
      <c r="E1535" t="s">
        <v>3073</v>
      </c>
    </row>
    <row r="1536" spans="1:5" ht="15" customHeight="1" x14ac:dyDescent="0.2">
      <c r="A1536">
        <v>611</v>
      </c>
      <c r="B1536">
        <v>611</v>
      </c>
      <c r="C1536" t="s">
        <v>3087</v>
      </c>
      <c r="D1536" t="s">
        <v>3073</v>
      </c>
      <c r="E1536" t="s">
        <v>3073</v>
      </c>
    </row>
    <row r="1537" spans="1:5" ht="15" customHeight="1" x14ac:dyDescent="0.2">
      <c r="A1537">
        <v>723</v>
      </c>
      <c r="B1537">
        <v>723</v>
      </c>
      <c r="C1537" t="s">
        <v>3088</v>
      </c>
      <c r="D1537" t="s">
        <v>3073</v>
      </c>
      <c r="E1537" t="s">
        <v>3073</v>
      </c>
    </row>
    <row r="1538" spans="1:5" ht="15" customHeight="1" x14ac:dyDescent="0.2">
      <c r="A1538">
        <v>615</v>
      </c>
      <c r="B1538">
        <v>615</v>
      </c>
      <c r="C1538" t="s">
        <v>3089</v>
      </c>
      <c r="D1538" t="s">
        <v>3073</v>
      </c>
      <c r="E1538" t="s">
        <v>3073</v>
      </c>
    </row>
    <row r="1539" spans="1:5" ht="15" customHeight="1" x14ac:dyDescent="0.2">
      <c r="A1539">
        <v>617</v>
      </c>
      <c r="B1539">
        <v>617</v>
      </c>
      <c r="C1539" t="s">
        <v>3090</v>
      </c>
      <c r="D1539" t="s">
        <v>3073</v>
      </c>
      <c r="E1539" t="s">
        <v>3073</v>
      </c>
    </row>
    <row r="1540" spans="1:5" ht="15" customHeight="1" x14ac:dyDescent="0.2">
      <c r="A1540">
        <v>721</v>
      </c>
      <c r="B1540">
        <v>721</v>
      </c>
      <c r="C1540" t="s">
        <v>3091</v>
      </c>
      <c r="D1540" t="s">
        <v>3073</v>
      </c>
      <c r="E1540" t="s">
        <v>3073</v>
      </c>
    </row>
    <row r="1541" spans="1:5" ht="15" customHeight="1" x14ac:dyDescent="0.2">
      <c r="A1541">
        <v>727</v>
      </c>
      <c r="B1541">
        <v>727</v>
      </c>
      <c r="C1541" t="s">
        <v>3092</v>
      </c>
      <c r="D1541" t="s">
        <v>3073</v>
      </c>
      <c r="E1541" t="s">
        <v>3073</v>
      </c>
    </row>
    <row r="1542" spans="1:5" ht="15" customHeight="1" x14ac:dyDescent="0.2">
      <c r="A1542">
        <v>612</v>
      </c>
      <c r="B1542">
        <v>612</v>
      </c>
      <c r="C1542" t="s">
        <v>3093</v>
      </c>
      <c r="D1542" t="s">
        <v>3073</v>
      </c>
      <c r="E1542" t="s">
        <v>3073</v>
      </c>
    </row>
    <row r="1543" spans="1:5" ht="15" customHeight="1" x14ac:dyDescent="0.2">
      <c r="A1543">
        <v>614</v>
      </c>
      <c r="B1543">
        <v>614</v>
      </c>
      <c r="C1543" t="s">
        <v>3094</v>
      </c>
      <c r="D1543" t="s">
        <v>3073</v>
      </c>
      <c r="E1543" t="s">
        <v>3073</v>
      </c>
    </row>
    <row r="1544" spans="1:5" ht="15" customHeight="1" x14ac:dyDescent="0.2">
      <c r="A1544">
        <v>199</v>
      </c>
      <c r="B1544">
        <v>199</v>
      </c>
      <c r="C1544" t="s">
        <v>3095</v>
      </c>
      <c r="D1544" t="s">
        <v>3073</v>
      </c>
      <c r="E1544" t="s">
        <v>3073</v>
      </c>
    </row>
    <row r="1545" spans="1:5" ht="15" customHeight="1" x14ac:dyDescent="0.2">
      <c r="A1545">
        <v>198</v>
      </c>
      <c r="B1545">
        <v>198</v>
      </c>
      <c r="C1545" t="s">
        <v>3096</v>
      </c>
      <c r="D1545" t="s">
        <v>3073</v>
      </c>
      <c r="E1545" t="s">
        <v>3073</v>
      </c>
    </row>
    <row r="1546" spans="1:5" ht="15" customHeight="1" x14ac:dyDescent="0.2">
      <c r="A1546">
        <v>728</v>
      </c>
      <c r="B1546">
        <v>728</v>
      </c>
      <c r="C1546" t="s">
        <v>915</v>
      </c>
      <c r="D1546" t="s">
        <v>3480</v>
      </c>
      <c r="E1546" t="s">
        <v>3480</v>
      </c>
    </row>
    <row r="1547" spans="1:5" ht="15" customHeight="1" x14ac:dyDescent="0.2">
      <c r="A1547">
        <v>9900</v>
      </c>
      <c r="B1547">
        <v>9900</v>
      </c>
      <c r="C1547" t="s">
        <v>916</v>
      </c>
      <c r="D1547" t="s">
        <v>3480</v>
      </c>
      <c r="E1547" t="s">
        <v>3480</v>
      </c>
    </row>
    <row r="1548" spans="1:5" ht="15" customHeight="1" x14ac:dyDescent="0.2">
      <c r="A1548">
        <v>5779</v>
      </c>
      <c r="B1548">
        <v>5779</v>
      </c>
      <c r="C1548" t="s">
        <v>3121</v>
      </c>
      <c r="D1548" t="s">
        <v>3480</v>
      </c>
      <c r="E1548" t="s">
        <v>3480</v>
      </c>
    </row>
    <row r="1549" spans="1:5" ht="15" customHeight="1" x14ac:dyDescent="0.2">
      <c r="A1549">
        <v>43603</v>
      </c>
      <c r="B1549">
        <v>43603</v>
      </c>
      <c r="C1549" t="s">
        <v>1416</v>
      </c>
      <c r="D1549" t="s">
        <v>3480</v>
      </c>
      <c r="E1549" t="s">
        <v>3480</v>
      </c>
    </row>
    <row r="1550" spans="1:5" ht="15" customHeight="1" x14ac:dyDescent="0.2">
      <c r="A1550">
        <v>2204</v>
      </c>
      <c r="B1550">
        <v>2204</v>
      </c>
      <c r="C1550" t="s">
        <v>1448</v>
      </c>
      <c r="D1550" t="s">
        <v>3480</v>
      </c>
      <c r="E1550" t="s">
        <v>3480</v>
      </c>
    </row>
    <row r="1551" spans="1:5" ht="15" customHeight="1" x14ac:dyDescent="0.2">
      <c r="A1551">
        <v>50355</v>
      </c>
      <c r="B1551">
        <v>50355</v>
      </c>
      <c r="C1551" t="s">
        <v>2982</v>
      </c>
      <c r="D1551" t="s">
        <v>3480</v>
      </c>
      <c r="E1551" t="s">
        <v>3480</v>
      </c>
    </row>
    <row r="1552" spans="1:5" ht="15" customHeight="1" x14ac:dyDescent="0.2">
      <c r="A1552">
        <v>43600</v>
      </c>
      <c r="B1552">
        <v>43600</v>
      </c>
      <c r="C1552" t="s">
        <v>3684</v>
      </c>
      <c r="D1552" t="s">
        <v>3480</v>
      </c>
      <c r="E1552" t="s">
        <v>3480</v>
      </c>
    </row>
    <row r="1553" spans="1:5" ht="15" customHeight="1" x14ac:dyDescent="0.2">
      <c r="A1553" t="s">
        <v>3052</v>
      </c>
      <c r="B1553" t="s">
        <v>3052</v>
      </c>
      <c r="C1553" t="s">
        <v>3054</v>
      </c>
      <c r="D1553" t="s">
        <v>917</v>
      </c>
      <c r="E1553" t="s">
        <v>917</v>
      </c>
    </row>
    <row r="1554" spans="1:5" ht="15" customHeight="1" x14ac:dyDescent="0.2">
      <c r="A1554" t="s">
        <v>3053</v>
      </c>
      <c r="B1554" t="s">
        <v>3053</v>
      </c>
      <c r="C1554" t="s">
        <v>3055</v>
      </c>
      <c r="D1554" t="s">
        <v>917</v>
      </c>
      <c r="E1554" t="s">
        <v>917</v>
      </c>
    </row>
    <row r="1555" spans="1:5" ht="15" customHeight="1" x14ac:dyDescent="0.2">
      <c r="A1555" s="27" t="s">
        <v>3410</v>
      </c>
      <c r="B1555" t="s">
        <v>3413</v>
      </c>
      <c r="C1555" t="s">
        <v>3411</v>
      </c>
      <c r="D1555" t="s">
        <v>3404</v>
      </c>
      <c r="E1555" t="s">
        <v>3464</v>
      </c>
    </row>
    <row r="1556" spans="1:5" ht="15" customHeight="1" x14ac:dyDescent="0.2">
      <c r="A1556" s="27" t="s">
        <v>3405</v>
      </c>
      <c r="B1556" t="s">
        <v>3413</v>
      </c>
      <c r="C1556" t="s">
        <v>3406</v>
      </c>
      <c r="D1556" t="s">
        <v>3404</v>
      </c>
      <c r="E1556" t="s">
        <v>3464</v>
      </c>
    </row>
    <row r="1557" spans="1:5" ht="15" customHeight="1" x14ac:dyDescent="0.2">
      <c r="A1557" s="27" t="s">
        <v>3407</v>
      </c>
      <c r="B1557" t="s">
        <v>3413</v>
      </c>
      <c r="C1557" t="s">
        <v>3408</v>
      </c>
      <c r="D1557" t="s">
        <v>3404</v>
      </c>
      <c r="E1557" t="s">
        <v>3464</v>
      </c>
    </row>
    <row r="1558" spans="1:5" ht="15" customHeight="1" x14ac:dyDescent="0.2">
      <c r="A1558" s="27" t="s">
        <v>3402</v>
      </c>
      <c r="B1558" t="s">
        <v>3413</v>
      </c>
      <c r="C1558" t="s">
        <v>3403</v>
      </c>
      <c r="D1558" t="s">
        <v>3404</v>
      </c>
      <c r="E1558" t="s">
        <v>3464</v>
      </c>
    </row>
    <row r="1559" spans="1:5" ht="15" customHeight="1" x14ac:dyDescent="0.2">
      <c r="A1559" s="27" t="s">
        <v>3409</v>
      </c>
      <c r="B1559" t="s">
        <v>3413</v>
      </c>
      <c r="C1559" t="s">
        <v>1753</v>
      </c>
      <c r="D1559" t="s">
        <v>3404</v>
      </c>
      <c r="E1559" t="s">
        <v>3464</v>
      </c>
    </row>
    <row r="1560" spans="1:5" ht="15" customHeight="1" x14ac:dyDescent="0.2">
      <c r="A1560" s="27" t="s">
        <v>3400</v>
      </c>
      <c r="B1560" t="s">
        <v>3400</v>
      </c>
      <c r="C1560" t="s">
        <v>3401</v>
      </c>
      <c r="D1560" t="s">
        <v>3404</v>
      </c>
      <c r="E1560" t="s">
        <v>3464</v>
      </c>
    </row>
    <row r="1561" spans="1:5" ht="15" customHeight="1" x14ac:dyDescent="0.2">
      <c r="A1561" s="27" t="s">
        <v>1754</v>
      </c>
      <c r="B1561" t="s">
        <v>1754</v>
      </c>
      <c r="C1561" t="s">
        <v>1755</v>
      </c>
      <c r="D1561" t="s">
        <v>3433</v>
      </c>
      <c r="E1561" t="s">
        <v>3463</v>
      </c>
    </row>
    <row r="1562" spans="1:5" ht="15" customHeight="1" x14ac:dyDescent="0.2">
      <c r="A1562" s="27" t="s">
        <v>1756</v>
      </c>
      <c r="B1562" t="s">
        <v>1756</v>
      </c>
      <c r="C1562" t="s">
        <v>1757</v>
      </c>
      <c r="D1562" t="s">
        <v>3433</v>
      </c>
      <c r="E1562" t="s">
        <v>3463</v>
      </c>
    </row>
    <row r="1563" spans="1:5" ht="15" customHeight="1" x14ac:dyDescent="0.2">
      <c r="A1563" s="27" t="s">
        <v>1758</v>
      </c>
      <c r="B1563" t="s">
        <v>1758</v>
      </c>
      <c r="C1563" t="s">
        <v>1759</v>
      </c>
      <c r="D1563" t="s">
        <v>3433</v>
      </c>
      <c r="E1563" t="s">
        <v>3463</v>
      </c>
    </row>
    <row r="1564" spans="1:5" ht="15" customHeight="1" x14ac:dyDescent="0.2">
      <c r="A1564" s="27" t="s">
        <v>3450</v>
      </c>
      <c r="B1564" t="s">
        <v>3450</v>
      </c>
      <c r="C1564" t="s">
        <v>3451</v>
      </c>
      <c r="D1564" t="s">
        <v>3433</v>
      </c>
      <c r="E1564" t="s">
        <v>3463</v>
      </c>
    </row>
    <row r="1565" spans="1:5" ht="15" customHeight="1" x14ac:dyDescent="0.2">
      <c r="A1565" s="27" t="s">
        <v>3448</v>
      </c>
      <c r="B1565" t="s">
        <v>3448</v>
      </c>
      <c r="C1565" t="s">
        <v>3449</v>
      </c>
      <c r="D1565" t="s">
        <v>3433</v>
      </c>
      <c r="E1565" t="s">
        <v>3463</v>
      </c>
    </row>
    <row r="1566" spans="1:5" ht="15" customHeight="1" x14ac:dyDescent="0.2">
      <c r="A1566" s="27" t="s">
        <v>3444</v>
      </c>
      <c r="B1566" t="s">
        <v>3444</v>
      </c>
      <c r="C1566" t="s">
        <v>3445</v>
      </c>
      <c r="D1566" t="s">
        <v>3433</v>
      </c>
      <c r="E1566" t="s">
        <v>3463</v>
      </c>
    </row>
    <row r="1567" spans="1:5" ht="15" customHeight="1" x14ac:dyDescent="0.2">
      <c r="A1567" s="27" t="s">
        <v>3446</v>
      </c>
      <c r="B1567" t="s">
        <v>3446</v>
      </c>
      <c r="C1567" t="s">
        <v>3447</v>
      </c>
      <c r="D1567" t="s">
        <v>3433</v>
      </c>
      <c r="E1567" t="s">
        <v>3463</v>
      </c>
    </row>
    <row r="1568" spans="1:5" ht="15" customHeight="1" x14ac:dyDescent="0.2">
      <c r="A1568" s="27" t="s">
        <v>1760</v>
      </c>
      <c r="B1568" t="s">
        <v>1760</v>
      </c>
      <c r="C1568" t="s">
        <v>1761</v>
      </c>
      <c r="D1568" t="s">
        <v>3433</v>
      </c>
      <c r="E1568" t="s">
        <v>3463</v>
      </c>
    </row>
    <row r="1569" spans="1:5" ht="15" customHeight="1" x14ac:dyDescent="0.2">
      <c r="A1569" s="27" t="s">
        <v>1762</v>
      </c>
      <c r="B1569" t="s">
        <v>1762</v>
      </c>
      <c r="C1569" t="s">
        <v>1763</v>
      </c>
      <c r="D1569" t="s">
        <v>3433</v>
      </c>
      <c r="E1569" t="s">
        <v>3463</v>
      </c>
    </row>
    <row r="1570" spans="1:5" ht="15" customHeight="1" x14ac:dyDescent="0.2">
      <c r="A1570" s="27" t="s">
        <v>1764</v>
      </c>
      <c r="B1570" t="s">
        <v>1764</v>
      </c>
      <c r="C1570" t="s">
        <v>1765</v>
      </c>
      <c r="D1570" t="s">
        <v>3433</v>
      </c>
      <c r="E1570" t="s">
        <v>3463</v>
      </c>
    </row>
    <row r="1571" spans="1:5" ht="15" customHeight="1" x14ac:dyDescent="0.2">
      <c r="A1571" s="27" t="s">
        <v>3440</v>
      </c>
      <c r="B1571" t="s">
        <v>3440</v>
      </c>
      <c r="C1571" t="s">
        <v>3441</v>
      </c>
      <c r="D1571" t="s">
        <v>3433</v>
      </c>
      <c r="E1571" t="s">
        <v>3463</v>
      </c>
    </row>
    <row r="1572" spans="1:5" ht="15" customHeight="1" x14ac:dyDescent="0.2">
      <c r="A1572" s="27" t="s">
        <v>3438</v>
      </c>
      <c r="B1572" t="s">
        <v>3438</v>
      </c>
      <c r="C1572" t="s">
        <v>3439</v>
      </c>
      <c r="D1572" t="s">
        <v>3433</v>
      </c>
      <c r="E1572" t="s">
        <v>3463</v>
      </c>
    </row>
    <row r="1573" spans="1:5" ht="15" customHeight="1" x14ac:dyDescent="0.2">
      <c r="A1573" s="27" t="s">
        <v>3434</v>
      </c>
      <c r="B1573" t="s">
        <v>3434</v>
      </c>
      <c r="C1573" t="s">
        <v>3435</v>
      </c>
      <c r="D1573" t="s">
        <v>3433</v>
      </c>
      <c r="E1573" t="s">
        <v>3463</v>
      </c>
    </row>
    <row r="1574" spans="1:5" ht="15" customHeight="1" x14ac:dyDescent="0.2">
      <c r="A1574" s="27" t="s">
        <v>3431</v>
      </c>
      <c r="B1574" t="s">
        <v>3431</v>
      </c>
      <c r="C1574" t="s">
        <v>3432</v>
      </c>
      <c r="D1574" t="s">
        <v>3433</v>
      </c>
      <c r="E1574" t="s">
        <v>3463</v>
      </c>
    </row>
    <row r="1575" spans="1:5" ht="15" customHeight="1" x14ac:dyDescent="0.2">
      <c r="A1575" s="27" t="s">
        <v>3442</v>
      </c>
      <c r="B1575" t="s">
        <v>3442</v>
      </c>
      <c r="C1575" t="s">
        <v>3443</v>
      </c>
      <c r="D1575" t="s">
        <v>3433</v>
      </c>
      <c r="E1575" t="s">
        <v>3463</v>
      </c>
    </row>
    <row r="1576" spans="1:5" ht="15" customHeight="1" x14ac:dyDescent="0.2">
      <c r="A1576" s="27" t="s">
        <v>3436</v>
      </c>
      <c r="B1576" t="s">
        <v>3436</v>
      </c>
      <c r="C1576" t="s">
        <v>3437</v>
      </c>
      <c r="D1576" t="s">
        <v>3433</v>
      </c>
      <c r="E1576" t="s">
        <v>3463</v>
      </c>
    </row>
    <row r="1577" spans="1:5" ht="15" customHeight="1" x14ac:dyDescent="0.2">
      <c r="A1577" s="27" t="s">
        <v>1766</v>
      </c>
      <c r="B1577" t="s">
        <v>1766</v>
      </c>
      <c r="C1577" t="s">
        <v>1767</v>
      </c>
      <c r="D1577" t="s">
        <v>3433</v>
      </c>
      <c r="E1577" t="s">
        <v>3463</v>
      </c>
    </row>
    <row r="1578" spans="1:5" ht="15" customHeight="1" x14ac:dyDescent="0.2">
      <c r="A1578" s="27" t="s">
        <v>1768</v>
      </c>
      <c r="B1578" t="s">
        <v>1768</v>
      </c>
      <c r="C1578" t="s">
        <v>1769</v>
      </c>
      <c r="D1578" t="s">
        <v>3433</v>
      </c>
      <c r="E1578" t="s">
        <v>3463</v>
      </c>
    </row>
    <row r="1579" spans="1:5" ht="15" customHeight="1" x14ac:dyDescent="0.2">
      <c r="A1579" s="27" t="s">
        <v>1770</v>
      </c>
      <c r="B1579" t="s">
        <v>1770</v>
      </c>
      <c r="C1579" t="s">
        <v>1771</v>
      </c>
      <c r="D1579" t="s">
        <v>3433</v>
      </c>
      <c r="E1579" t="s">
        <v>3463</v>
      </c>
    </row>
    <row r="1580" spans="1:5" ht="15" customHeight="1" x14ac:dyDescent="0.2">
      <c r="A1580" s="27" t="s">
        <v>1772</v>
      </c>
      <c r="B1580" t="s">
        <v>1772</v>
      </c>
      <c r="C1580" t="s">
        <v>1773</v>
      </c>
      <c r="D1580" t="s">
        <v>3433</v>
      </c>
      <c r="E1580" t="s">
        <v>3463</v>
      </c>
    </row>
    <row r="1581" spans="1:5" ht="15" customHeight="1" x14ac:dyDescent="0.2">
      <c r="A1581" s="27" t="s">
        <v>1774</v>
      </c>
      <c r="B1581" t="s">
        <v>1774</v>
      </c>
      <c r="C1581" t="s">
        <v>1775</v>
      </c>
      <c r="D1581" t="s">
        <v>3433</v>
      </c>
      <c r="E1581" t="s">
        <v>3463</v>
      </c>
    </row>
    <row r="1582" spans="1:5" ht="15" customHeight="1" x14ac:dyDescent="0.2">
      <c r="A1582" s="27" t="s">
        <v>1776</v>
      </c>
      <c r="B1582" t="s">
        <v>1776</v>
      </c>
      <c r="C1582" t="s">
        <v>1777</v>
      </c>
      <c r="D1582" t="s">
        <v>3433</v>
      </c>
      <c r="E1582" t="s">
        <v>3463</v>
      </c>
    </row>
    <row r="1583" spans="1:5" ht="15" customHeight="1" x14ac:dyDescent="0.2">
      <c r="A1583" s="27" t="s">
        <v>1778</v>
      </c>
      <c r="B1583" t="s">
        <v>1778</v>
      </c>
      <c r="C1583" t="s">
        <v>1779</v>
      </c>
      <c r="D1583" t="s">
        <v>3433</v>
      </c>
      <c r="E1583" t="s">
        <v>3463</v>
      </c>
    </row>
    <row r="1584" spans="1:5" ht="15" customHeight="1" x14ac:dyDescent="0.2">
      <c r="A1584" s="27" t="s">
        <v>1780</v>
      </c>
      <c r="B1584" t="s">
        <v>1780</v>
      </c>
      <c r="C1584" t="s">
        <v>1781</v>
      </c>
      <c r="D1584" t="s">
        <v>3433</v>
      </c>
      <c r="E1584" t="s">
        <v>3463</v>
      </c>
    </row>
    <row r="1585" spans="1:5" ht="15" customHeight="1" x14ac:dyDescent="0.2">
      <c r="A1585" s="27" t="s">
        <v>1782</v>
      </c>
      <c r="B1585" t="s">
        <v>1782</v>
      </c>
      <c r="C1585" t="s">
        <v>1783</v>
      </c>
      <c r="D1585" t="s">
        <v>3433</v>
      </c>
      <c r="E1585" t="s">
        <v>3463</v>
      </c>
    </row>
    <row r="1586" spans="1:5" ht="15" customHeight="1" x14ac:dyDescent="0.2">
      <c r="A1586" s="27" t="s">
        <v>1784</v>
      </c>
      <c r="B1586" t="s">
        <v>1784</v>
      </c>
      <c r="C1586" t="s">
        <v>1785</v>
      </c>
      <c r="D1586" t="s">
        <v>3433</v>
      </c>
      <c r="E1586" t="s">
        <v>3463</v>
      </c>
    </row>
    <row r="1587" spans="1:5" ht="15" customHeight="1" x14ac:dyDescent="0.2">
      <c r="A1587" s="27" t="s">
        <v>1786</v>
      </c>
      <c r="B1587" t="s">
        <v>1786</v>
      </c>
      <c r="C1587" t="s">
        <v>1787</v>
      </c>
      <c r="D1587" t="s">
        <v>3433</v>
      </c>
      <c r="E1587" t="s">
        <v>3463</v>
      </c>
    </row>
    <row r="1588" spans="1:5" ht="15" customHeight="1" x14ac:dyDescent="0.2">
      <c r="A1588" s="27" t="s">
        <v>1788</v>
      </c>
      <c r="B1588" t="s">
        <v>1788</v>
      </c>
      <c r="C1588" t="s">
        <v>1789</v>
      </c>
      <c r="D1588" t="s">
        <v>3433</v>
      </c>
      <c r="E1588" t="s">
        <v>3463</v>
      </c>
    </row>
    <row r="1589" spans="1:5" ht="15" customHeight="1" x14ac:dyDescent="0.2">
      <c r="A1589" s="27" t="s">
        <v>1790</v>
      </c>
      <c r="B1589" t="s">
        <v>1790</v>
      </c>
      <c r="C1589" t="s">
        <v>1791</v>
      </c>
      <c r="D1589" t="s">
        <v>3433</v>
      </c>
      <c r="E1589" t="s">
        <v>3463</v>
      </c>
    </row>
    <row r="1590" spans="1:5" ht="15" customHeight="1" x14ac:dyDescent="0.2">
      <c r="A1590" s="27" t="s">
        <v>1792</v>
      </c>
      <c r="B1590" t="s">
        <v>1792</v>
      </c>
      <c r="C1590" t="s">
        <v>1793</v>
      </c>
      <c r="D1590" t="s">
        <v>3433</v>
      </c>
      <c r="E1590" t="s">
        <v>3463</v>
      </c>
    </row>
    <row r="1591" spans="1:5" ht="15" customHeight="1" x14ac:dyDescent="0.2">
      <c r="A1591" s="27" t="s">
        <v>1794</v>
      </c>
      <c r="B1591" t="s">
        <v>1794</v>
      </c>
      <c r="C1591" t="s">
        <v>1795</v>
      </c>
      <c r="D1591" t="s">
        <v>3433</v>
      </c>
      <c r="E1591" t="s">
        <v>3463</v>
      </c>
    </row>
    <row r="1592" spans="1:5" ht="15" customHeight="1" x14ac:dyDescent="0.2">
      <c r="A1592" s="27" t="s">
        <v>1796</v>
      </c>
      <c r="B1592" t="s">
        <v>1796</v>
      </c>
      <c r="C1592" t="s">
        <v>1797</v>
      </c>
      <c r="D1592" t="s">
        <v>3433</v>
      </c>
      <c r="E1592" t="s">
        <v>3463</v>
      </c>
    </row>
    <row r="1593" spans="1:5" ht="15" customHeight="1" x14ac:dyDescent="0.2">
      <c r="A1593" s="27" t="s">
        <v>1798</v>
      </c>
      <c r="B1593" t="s">
        <v>1798</v>
      </c>
      <c r="C1593" t="s">
        <v>1799</v>
      </c>
      <c r="D1593" t="s">
        <v>3433</v>
      </c>
      <c r="E1593" t="s">
        <v>3463</v>
      </c>
    </row>
    <row r="1594" spans="1:5" ht="15" customHeight="1" x14ac:dyDescent="0.2">
      <c r="A1594" s="27" t="s">
        <v>1800</v>
      </c>
      <c r="B1594" t="s">
        <v>1800</v>
      </c>
      <c r="C1594" t="s">
        <v>1801</v>
      </c>
      <c r="D1594" t="s">
        <v>3433</v>
      </c>
      <c r="E1594" t="s">
        <v>3463</v>
      </c>
    </row>
    <row r="1595" spans="1:5" ht="15" customHeight="1" x14ac:dyDescent="0.2">
      <c r="A1595" s="27" t="s">
        <v>1802</v>
      </c>
      <c r="B1595" t="s">
        <v>1802</v>
      </c>
      <c r="C1595" t="s">
        <v>1803</v>
      </c>
      <c r="D1595" t="s">
        <v>3433</v>
      </c>
      <c r="E1595" t="s">
        <v>3463</v>
      </c>
    </row>
    <row r="1596" spans="1:5" ht="15" customHeight="1" x14ac:dyDescent="0.2">
      <c r="A1596" s="27" t="s">
        <v>1804</v>
      </c>
      <c r="B1596" t="s">
        <v>1804</v>
      </c>
      <c r="C1596" t="s">
        <v>1805</v>
      </c>
      <c r="D1596" t="s">
        <v>3433</v>
      </c>
      <c r="E1596" t="s">
        <v>3463</v>
      </c>
    </row>
    <row r="1597" spans="1:5" ht="15" customHeight="1" x14ac:dyDescent="0.2">
      <c r="A1597" s="27" t="s">
        <v>1806</v>
      </c>
      <c r="B1597" t="s">
        <v>1806</v>
      </c>
      <c r="C1597" t="s">
        <v>1807</v>
      </c>
      <c r="D1597" t="s">
        <v>3433</v>
      </c>
      <c r="E1597" t="s">
        <v>3463</v>
      </c>
    </row>
    <row r="1598" spans="1:5" ht="15" customHeight="1" x14ac:dyDescent="0.2">
      <c r="A1598" s="27" t="s">
        <v>1808</v>
      </c>
      <c r="B1598" t="s">
        <v>1808</v>
      </c>
      <c r="C1598" t="s">
        <v>1809</v>
      </c>
      <c r="D1598" t="s">
        <v>3433</v>
      </c>
      <c r="E1598" t="s">
        <v>3463</v>
      </c>
    </row>
    <row r="1599" spans="1:5" ht="15" customHeight="1" x14ac:dyDescent="0.2">
      <c r="A1599" s="27" t="s">
        <v>1810</v>
      </c>
      <c r="B1599" t="s">
        <v>1810</v>
      </c>
      <c r="C1599" t="s">
        <v>1811</v>
      </c>
      <c r="D1599" t="s">
        <v>3433</v>
      </c>
      <c r="E1599" t="s">
        <v>3463</v>
      </c>
    </row>
    <row r="1600" spans="1:5" ht="15" customHeight="1" x14ac:dyDescent="0.2">
      <c r="A1600" s="27" t="s">
        <v>1812</v>
      </c>
      <c r="B1600" t="s">
        <v>1812</v>
      </c>
      <c r="C1600" t="s">
        <v>1813</v>
      </c>
      <c r="D1600" t="s">
        <v>3433</v>
      </c>
      <c r="E1600" t="s">
        <v>3463</v>
      </c>
    </row>
    <row r="1601" spans="1:5" ht="15" customHeight="1" x14ac:dyDescent="0.2">
      <c r="A1601" s="27">
        <v>4910</v>
      </c>
      <c r="B1601">
        <v>4910</v>
      </c>
      <c r="C1601" t="s">
        <v>1279</v>
      </c>
      <c r="D1601" t="s">
        <v>3481</v>
      </c>
      <c r="E1601" t="s">
        <v>3482</v>
      </c>
    </row>
    <row r="1602" spans="1:5" ht="15" customHeight="1" x14ac:dyDescent="0.2">
      <c r="A1602" s="27">
        <v>4950</v>
      </c>
      <c r="B1602">
        <v>4950</v>
      </c>
      <c r="C1602" t="s">
        <v>1280</v>
      </c>
      <c r="D1602" t="s">
        <v>3481</v>
      </c>
      <c r="E1602" t="s">
        <v>3482</v>
      </c>
    </row>
    <row r="1603" spans="1:5" ht="15" customHeight="1" x14ac:dyDescent="0.2">
      <c r="A1603" s="27" t="s">
        <v>1277</v>
      </c>
      <c r="B1603" t="s">
        <v>1277</v>
      </c>
      <c r="C1603" t="s">
        <v>1278</v>
      </c>
      <c r="D1603" t="s">
        <v>3481</v>
      </c>
      <c r="E1603" t="s">
        <v>3482</v>
      </c>
    </row>
    <row r="1604" spans="1:5" ht="15" customHeight="1" x14ac:dyDescent="0.2">
      <c r="A1604" s="27" t="s">
        <v>1557</v>
      </c>
      <c r="B1604" t="s">
        <v>1557</v>
      </c>
      <c r="C1604" t="s">
        <v>1558</v>
      </c>
      <c r="D1604" t="s">
        <v>3481</v>
      </c>
      <c r="E1604" t="s">
        <v>3482</v>
      </c>
    </row>
    <row r="1605" spans="1:5" ht="15" customHeight="1" x14ac:dyDescent="0.2">
      <c r="A1605" s="27" t="s">
        <v>1559</v>
      </c>
      <c r="B1605" t="s">
        <v>1559</v>
      </c>
      <c r="C1605" t="s">
        <v>1560</v>
      </c>
      <c r="D1605" t="s">
        <v>3481</v>
      </c>
      <c r="E1605" t="s">
        <v>3482</v>
      </c>
    </row>
    <row r="1606" spans="1:5" ht="15" customHeight="1" x14ac:dyDescent="0.2">
      <c r="A1606" s="27" t="s">
        <v>2723</v>
      </c>
      <c r="B1606" t="s">
        <v>2724</v>
      </c>
      <c r="C1606" t="s">
        <v>1548</v>
      </c>
      <c r="D1606" t="s">
        <v>3481</v>
      </c>
      <c r="E1606" t="s">
        <v>3482</v>
      </c>
    </row>
    <row r="1607" spans="1:5" ht="15" customHeight="1" x14ac:dyDescent="0.2">
      <c r="A1607" s="27" t="s">
        <v>647</v>
      </c>
      <c r="B1607" t="s">
        <v>648</v>
      </c>
      <c r="C1607" t="s">
        <v>1549</v>
      </c>
      <c r="D1607" t="s">
        <v>3481</v>
      </c>
      <c r="E1607" t="s">
        <v>3482</v>
      </c>
    </row>
    <row r="1608" spans="1:5" ht="15" customHeight="1" x14ac:dyDescent="0.2">
      <c r="A1608" s="27" t="s">
        <v>2679</v>
      </c>
      <c r="B1608" t="s">
        <v>2680</v>
      </c>
      <c r="C1608" t="s">
        <v>2681</v>
      </c>
      <c r="D1608" t="s">
        <v>3481</v>
      </c>
      <c r="E1608" t="s">
        <v>3482</v>
      </c>
    </row>
    <row r="1609" spans="1:5" ht="15" customHeight="1" x14ac:dyDescent="0.2">
      <c r="A1609" s="27" t="s">
        <v>649</v>
      </c>
      <c r="B1609" t="s">
        <v>650</v>
      </c>
      <c r="C1609" t="s">
        <v>1550</v>
      </c>
      <c r="D1609" t="s">
        <v>3481</v>
      </c>
      <c r="E1609" t="s">
        <v>3482</v>
      </c>
    </row>
    <row r="1610" spans="1:5" ht="15" customHeight="1" x14ac:dyDescent="0.2">
      <c r="A1610" s="27" t="s">
        <v>2710</v>
      </c>
      <c r="B1610" t="s">
        <v>2711</v>
      </c>
      <c r="C1610" t="s">
        <v>1551</v>
      </c>
      <c r="D1610" t="s">
        <v>3481</v>
      </c>
      <c r="E1610" t="s">
        <v>3482</v>
      </c>
    </row>
    <row r="1611" spans="1:5" ht="15" customHeight="1" x14ac:dyDescent="0.2">
      <c r="A1611" s="27" t="s">
        <v>651</v>
      </c>
      <c r="B1611" t="s">
        <v>652</v>
      </c>
      <c r="C1611" t="s">
        <v>1552</v>
      </c>
      <c r="D1611" t="s">
        <v>3481</v>
      </c>
      <c r="E1611" t="s">
        <v>3482</v>
      </c>
    </row>
    <row r="1612" spans="1:5" ht="15" customHeight="1" x14ac:dyDescent="0.2">
      <c r="A1612" s="27" t="s">
        <v>2722</v>
      </c>
      <c r="B1612" t="s">
        <v>2722</v>
      </c>
      <c r="C1612" t="s">
        <v>1553</v>
      </c>
      <c r="D1612" t="s">
        <v>3481</v>
      </c>
      <c r="E1612" t="s">
        <v>3482</v>
      </c>
    </row>
    <row r="1613" spans="1:5" ht="15" customHeight="1" x14ac:dyDescent="0.2">
      <c r="A1613" s="27" t="s">
        <v>2720</v>
      </c>
      <c r="B1613" t="s">
        <v>2721</v>
      </c>
      <c r="C1613" t="s">
        <v>1554</v>
      </c>
      <c r="D1613" t="s">
        <v>3481</v>
      </c>
      <c r="E1613" t="s">
        <v>3482</v>
      </c>
    </row>
    <row r="1614" spans="1:5" ht="15" customHeight="1" x14ac:dyDescent="0.2">
      <c r="A1614" s="27" t="s">
        <v>653</v>
      </c>
      <c r="B1614" t="s">
        <v>654</v>
      </c>
      <c r="C1614" t="s">
        <v>1555</v>
      </c>
      <c r="D1614" t="s">
        <v>3481</v>
      </c>
      <c r="E1614" t="s">
        <v>3482</v>
      </c>
    </row>
    <row r="1615" spans="1:5" ht="15" customHeight="1" x14ac:dyDescent="0.2">
      <c r="A1615" s="27" t="s">
        <v>655</v>
      </c>
      <c r="B1615" t="s">
        <v>656</v>
      </c>
      <c r="C1615" t="s">
        <v>1556</v>
      </c>
      <c r="D1615" t="s">
        <v>3481</v>
      </c>
      <c r="E1615" t="s">
        <v>3482</v>
      </c>
    </row>
    <row r="1616" spans="1:5" ht="15" customHeight="1" x14ac:dyDescent="0.2">
      <c r="A1616" s="27" t="s">
        <v>2683</v>
      </c>
      <c r="B1616" t="s">
        <v>2684</v>
      </c>
      <c r="C1616" t="s">
        <v>2685</v>
      </c>
      <c r="D1616" t="s">
        <v>3481</v>
      </c>
      <c r="E1616" t="s">
        <v>3482</v>
      </c>
    </row>
    <row r="1617" spans="1:5" ht="15" customHeight="1" x14ac:dyDescent="0.2">
      <c r="A1617" s="27" t="s">
        <v>2686</v>
      </c>
      <c r="B1617" s="27" t="s">
        <v>2686</v>
      </c>
      <c r="C1617" t="s">
        <v>2687</v>
      </c>
      <c r="D1617" t="s">
        <v>3481</v>
      </c>
      <c r="E1617" t="s">
        <v>3482</v>
      </c>
    </row>
    <row r="1618" spans="1:5" ht="15" customHeight="1" x14ac:dyDescent="0.2">
      <c r="A1618" s="27" t="s">
        <v>2688</v>
      </c>
      <c r="B1618" s="27" t="s">
        <v>2689</v>
      </c>
      <c r="C1618" t="s">
        <v>2690</v>
      </c>
      <c r="D1618" t="s">
        <v>3481</v>
      </c>
      <c r="E1618" t="s">
        <v>3482</v>
      </c>
    </row>
    <row r="1619" spans="1:5" ht="15" customHeight="1" x14ac:dyDescent="0.2">
      <c r="A1619" s="27" t="s">
        <v>2702</v>
      </c>
      <c r="B1619" s="27" t="s">
        <v>2702</v>
      </c>
      <c r="C1619" t="s">
        <v>2704</v>
      </c>
      <c r="D1619" t="s">
        <v>3481</v>
      </c>
      <c r="E1619" t="s">
        <v>3482</v>
      </c>
    </row>
    <row r="1620" spans="1:5" ht="15" customHeight="1" x14ac:dyDescent="0.2">
      <c r="A1620" s="27" t="s">
        <v>2703</v>
      </c>
      <c r="B1620" s="27" t="s">
        <v>2703</v>
      </c>
      <c r="C1620" t="s">
        <v>2705</v>
      </c>
      <c r="D1620" t="s">
        <v>3481</v>
      </c>
      <c r="E1620" t="s">
        <v>3482</v>
      </c>
    </row>
    <row r="1621" spans="1:5" ht="15" customHeight="1" x14ac:dyDescent="0.2">
      <c r="A1621" s="27" t="s">
        <v>1559</v>
      </c>
      <c r="B1621" s="27" t="s">
        <v>1559</v>
      </c>
      <c r="C1621" t="s">
        <v>814</v>
      </c>
      <c r="D1621" t="s">
        <v>3481</v>
      </c>
      <c r="E1621" t="s">
        <v>3482</v>
      </c>
    </row>
    <row r="1622" spans="1:5" ht="15" customHeight="1" x14ac:dyDescent="0.2">
      <c r="A1622" s="27">
        <v>15300</v>
      </c>
      <c r="B1622">
        <v>15300</v>
      </c>
      <c r="C1622" t="s">
        <v>2434</v>
      </c>
      <c r="D1622" t="s">
        <v>2435</v>
      </c>
      <c r="E1622" t="s">
        <v>3483</v>
      </c>
    </row>
    <row r="1623" spans="1:5" ht="15" customHeight="1" x14ac:dyDescent="0.2">
      <c r="A1623" s="27">
        <v>15852</v>
      </c>
      <c r="B1623">
        <v>15852</v>
      </c>
      <c r="C1623" t="s">
        <v>1227</v>
      </c>
      <c r="D1623" t="s">
        <v>3483</v>
      </c>
      <c r="E1623" t="s">
        <v>3483</v>
      </c>
    </row>
    <row r="1624" spans="1:5" ht="15" customHeight="1" x14ac:dyDescent="0.2">
      <c r="A1624" s="27">
        <v>17500</v>
      </c>
      <c r="B1624">
        <v>17500</v>
      </c>
      <c r="C1624" t="s">
        <v>1228</v>
      </c>
      <c r="D1624" t="s">
        <v>3483</v>
      </c>
      <c r="E1624" t="s">
        <v>3483</v>
      </c>
    </row>
    <row r="1625" spans="1:5" ht="15" customHeight="1" x14ac:dyDescent="0.2">
      <c r="A1625" s="27">
        <v>27640</v>
      </c>
      <c r="B1625">
        <v>27640</v>
      </c>
      <c r="C1625" t="s">
        <v>1221</v>
      </c>
      <c r="D1625" t="s">
        <v>3483</v>
      </c>
      <c r="E1625" t="s">
        <v>3483</v>
      </c>
    </row>
    <row r="1626" spans="1:5" ht="15" customHeight="1" x14ac:dyDescent="0.2">
      <c r="A1626" s="27">
        <v>27665</v>
      </c>
      <c r="B1626">
        <v>27665</v>
      </c>
      <c r="C1626" t="s">
        <v>1222</v>
      </c>
      <c r="D1626" t="s">
        <v>3483</v>
      </c>
      <c r="E1626" t="s">
        <v>3483</v>
      </c>
    </row>
    <row r="1627" spans="1:5" ht="15" customHeight="1" x14ac:dyDescent="0.2">
      <c r="A1627" s="27">
        <v>27685</v>
      </c>
      <c r="B1627">
        <v>27685</v>
      </c>
      <c r="C1627" t="s">
        <v>1223</v>
      </c>
      <c r="D1627" t="s">
        <v>3483</v>
      </c>
      <c r="E1627" t="s">
        <v>3483</v>
      </c>
    </row>
    <row r="1628" spans="1:5" ht="15" customHeight="1" x14ac:dyDescent="0.2">
      <c r="A1628" s="27">
        <v>27690</v>
      </c>
      <c r="B1628">
        <v>27690</v>
      </c>
      <c r="C1628" t="s">
        <v>1224</v>
      </c>
      <c r="D1628" t="s">
        <v>3483</v>
      </c>
      <c r="E1628" t="s">
        <v>3483</v>
      </c>
    </row>
    <row r="1629" spans="1:5" ht="15" customHeight="1" x14ac:dyDescent="0.2">
      <c r="A1629" s="27">
        <v>27695</v>
      </c>
      <c r="B1629">
        <v>27695</v>
      </c>
      <c r="C1629" t="s">
        <v>1225</v>
      </c>
      <c r="D1629" t="s">
        <v>3483</v>
      </c>
      <c r="E1629" t="s">
        <v>3483</v>
      </c>
    </row>
    <row r="1630" spans="1:5" ht="15" customHeight="1" x14ac:dyDescent="0.2">
      <c r="A1630" s="27">
        <v>27900</v>
      </c>
      <c r="B1630">
        <v>27900</v>
      </c>
      <c r="C1630" t="s">
        <v>1226</v>
      </c>
      <c r="D1630" t="s">
        <v>3483</v>
      </c>
      <c r="E1630" t="s">
        <v>3483</v>
      </c>
    </row>
    <row r="1631" spans="1:5" ht="15" customHeight="1" x14ac:dyDescent="0.2">
      <c r="A1631" s="27">
        <v>17300</v>
      </c>
      <c r="B1631">
        <v>17300</v>
      </c>
      <c r="C1631" t="s">
        <v>3590</v>
      </c>
      <c r="D1631" t="s">
        <v>3483</v>
      </c>
      <c r="E1631" t="s">
        <v>3483</v>
      </c>
    </row>
    <row r="1632" spans="1:5" ht="15" customHeight="1" x14ac:dyDescent="0.2">
      <c r="A1632" s="27" t="s">
        <v>1814</v>
      </c>
      <c r="B1632" t="s">
        <v>1814</v>
      </c>
      <c r="C1632" t="s">
        <v>1815</v>
      </c>
      <c r="D1632" t="s">
        <v>3420</v>
      </c>
      <c r="E1632" t="s">
        <v>3462</v>
      </c>
    </row>
    <row r="1633" spans="1:5" ht="15" customHeight="1" x14ac:dyDescent="0.2">
      <c r="A1633" s="27" t="s">
        <v>1816</v>
      </c>
      <c r="B1633" t="s">
        <v>1816</v>
      </c>
      <c r="C1633" t="s">
        <v>1817</v>
      </c>
      <c r="D1633" t="s">
        <v>3420</v>
      </c>
      <c r="E1633" t="s">
        <v>3462</v>
      </c>
    </row>
    <row r="1634" spans="1:5" ht="15" customHeight="1" x14ac:dyDescent="0.2">
      <c r="A1634" s="27" t="s">
        <v>3429</v>
      </c>
      <c r="B1634" t="s">
        <v>3429</v>
      </c>
      <c r="C1634" t="s">
        <v>3430</v>
      </c>
      <c r="D1634" t="s">
        <v>3420</v>
      </c>
      <c r="E1634" t="s">
        <v>3462</v>
      </c>
    </row>
    <row r="1635" spans="1:5" ht="15" customHeight="1" x14ac:dyDescent="0.2">
      <c r="A1635" s="27" t="s">
        <v>3423</v>
      </c>
      <c r="B1635" t="s">
        <v>3423</v>
      </c>
      <c r="C1635" t="s">
        <v>3424</v>
      </c>
      <c r="D1635" t="s">
        <v>3420</v>
      </c>
      <c r="E1635" t="s">
        <v>3462</v>
      </c>
    </row>
    <row r="1636" spans="1:5" ht="15" customHeight="1" x14ac:dyDescent="0.2">
      <c r="A1636" s="27" t="s">
        <v>3421</v>
      </c>
      <c r="B1636" t="s">
        <v>3421</v>
      </c>
      <c r="C1636" t="s">
        <v>3422</v>
      </c>
      <c r="D1636" t="s">
        <v>3420</v>
      </c>
      <c r="E1636" t="s">
        <v>3462</v>
      </c>
    </row>
    <row r="1637" spans="1:5" ht="15" customHeight="1" x14ac:dyDescent="0.2">
      <c r="A1637" s="27" t="s">
        <v>1818</v>
      </c>
      <c r="B1637" t="s">
        <v>1818</v>
      </c>
      <c r="C1637" t="s">
        <v>1819</v>
      </c>
      <c r="D1637" t="s">
        <v>3420</v>
      </c>
      <c r="E1637" t="s">
        <v>3462</v>
      </c>
    </row>
    <row r="1638" spans="1:5" ht="15" customHeight="1" x14ac:dyDescent="0.2">
      <c r="A1638" s="27" t="s">
        <v>3418</v>
      </c>
      <c r="B1638" t="s">
        <v>3418</v>
      </c>
      <c r="C1638" t="s">
        <v>3419</v>
      </c>
      <c r="D1638" t="s">
        <v>3420</v>
      </c>
      <c r="E1638" t="s">
        <v>3462</v>
      </c>
    </row>
    <row r="1639" spans="1:5" ht="15" customHeight="1" x14ac:dyDescent="0.2">
      <c r="A1639" s="27" t="s">
        <v>3425</v>
      </c>
      <c r="B1639" t="s">
        <v>3425</v>
      </c>
      <c r="C1639" t="s">
        <v>3426</v>
      </c>
      <c r="D1639" t="s">
        <v>3420</v>
      </c>
      <c r="E1639" t="s">
        <v>3462</v>
      </c>
    </row>
    <row r="1640" spans="1:5" ht="15" customHeight="1" x14ac:dyDescent="0.2">
      <c r="A1640" s="27" t="s">
        <v>3427</v>
      </c>
      <c r="B1640" t="s">
        <v>3427</v>
      </c>
      <c r="C1640" t="s">
        <v>3428</v>
      </c>
      <c r="D1640" t="s">
        <v>3420</v>
      </c>
      <c r="E1640" t="s">
        <v>3462</v>
      </c>
    </row>
    <row r="1641" spans="1:5" ht="15" customHeight="1" x14ac:dyDescent="0.2">
      <c r="A1641" s="27" t="s">
        <v>1820</v>
      </c>
      <c r="B1641" t="s">
        <v>1820</v>
      </c>
      <c r="C1641" t="s">
        <v>1821</v>
      </c>
      <c r="D1641" t="s">
        <v>3420</v>
      </c>
      <c r="E1641" t="s">
        <v>3462</v>
      </c>
    </row>
    <row r="1642" spans="1:5" ht="15" customHeight="1" x14ac:dyDescent="0.2">
      <c r="A1642" s="27">
        <v>1626</v>
      </c>
      <c r="B1642">
        <v>1626</v>
      </c>
      <c r="C1642" t="s">
        <v>671</v>
      </c>
      <c r="D1642" t="s">
        <v>3484</v>
      </c>
      <c r="E1642" t="s">
        <v>3484</v>
      </c>
    </row>
    <row r="1643" spans="1:5" ht="15" customHeight="1" x14ac:dyDescent="0.2">
      <c r="A1643" s="27">
        <v>1627</v>
      </c>
      <c r="B1643" s="27">
        <v>1627</v>
      </c>
      <c r="C1643" t="s">
        <v>668</v>
      </c>
      <c r="D1643" t="s">
        <v>3484</v>
      </c>
      <c r="E1643" t="s">
        <v>3484</v>
      </c>
    </row>
    <row r="1644" spans="1:5" ht="15" customHeight="1" x14ac:dyDescent="0.2">
      <c r="A1644" s="27">
        <v>1622</v>
      </c>
      <c r="B1644" s="27">
        <v>1622</v>
      </c>
      <c r="C1644" t="s">
        <v>669</v>
      </c>
      <c r="D1644" t="s">
        <v>3484</v>
      </c>
      <c r="E1644" t="s">
        <v>3484</v>
      </c>
    </row>
    <row r="1645" spans="1:5" ht="15" customHeight="1" x14ac:dyDescent="0.2">
      <c r="A1645" s="27">
        <v>8402</v>
      </c>
      <c r="B1645">
        <v>8402</v>
      </c>
      <c r="C1645" t="s">
        <v>673</v>
      </c>
      <c r="D1645" t="s">
        <v>3484</v>
      </c>
      <c r="E1645" t="s">
        <v>3484</v>
      </c>
    </row>
    <row r="1646" spans="1:5" ht="15" customHeight="1" x14ac:dyDescent="0.2">
      <c r="A1646" s="27">
        <v>8405</v>
      </c>
      <c r="B1646">
        <v>8405</v>
      </c>
      <c r="C1646" t="s">
        <v>1286</v>
      </c>
      <c r="D1646" t="s">
        <v>3484</v>
      </c>
      <c r="E1646" t="s">
        <v>3484</v>
      </c>
    </row>
    <row r="1647" spans="1:5" ht="15" customHeight="1" x14ac:dyDescent="0.2">
      <c r="A1647" s="27">
        <v>8415</v>
      </c>
      <c r="B1647">
        <v>8415</v>
      </c>
      <c r="C1647" t="s">
        <v>1288</v>
      </c>
      <c r="D1647" t="s">
        <v>3484</v>
      </c>
      <c r="E1647" t="s">
        <v>3484</v>
      </c>
    </row>
    <row r="1648" spans="1:5" ht="15" customHeight="1" x14ac:dyDescent="0.2">
      <c r="A1648" s="27">
        <v>8436</v>
      </c>
      <c r="B1648">
        <v>8436</v>
      </c>
      <c r="C1648" t="s">
        <v>1294</v>
      </c>
      <c r="D1648" t="s">
        <v>3484</v>
      </c>
      <c r="E1648" t="s">
        <v>3484</v>
      </c>
    </row>
    <row r="1649" spans="1:5" ht="15" customHeight="1" x14ac:dyDescent="0.2">
      <c r="A1649" s="27">
        <v>8455</v>
      </c>
      <c r="B1649">
        <v>8455</v>
      </c>
      <c r="C1649" t="s">
        <v>1295</v>
      </c>
      <c r="D1649" t="s">
        <v>3484</v>
      </c>
      <c r="E1649" t="s">
        <v>3484</v>
      </c>
    </row>
    <row r="1650" spans="1:5" ht="15" customHeight="1" x14ac:dyDescent="0.2">
      <c r="A1650" s="27">
        <v>84055</v>
      </c>
      <c r="B1650">
        <v>84055</v>
      </c>
      <c r="C1650" t="s">
        <v>1287</v>
      </c>
      <c r="D1650" t="s">
        <v>3484</v>
      </c>
      <c r="E1650" t="s">
        <v>3484</v>
      </c>
    </row>
    <row r="1651" spans="1:5" ht="15" customHeight="1" x14ac:dyDescent="0.2">
      <c r="A1651" s="27">
        <v>84226</v>
      </c>
      <c r="B1651">
        <v>84226</v>
      </c>
      <c r="C1651" s="63" t="s">
        <v>670</v>
      </c>
      <c r="D1651" t="s">
        <v>3484</v>
      </c>
      <c r="E1651" t="s">
        <v>3484</v>
      </c>
    </row>
    <row r="1652" spans="1:5" ht="15" customHeight="1" x14ac:dyDescent="0.2">
      <c r="A1652" s="27">
        <v>84292</v>
      </c>
      <c r="B1652">
        <v>84292</v>
      </c>
      <c r="C1652" t="s">
        <v>1289</v>
      </c>
      <c r="D1652" t="s">
        <v>3484</v>
      </c>
      <c r="E1652" t="s">
        <v>3484</v>
      </c>
    </row>
    <row r="1653" spans="1:5" ht="15" customHeight="1" x14ac:dyDescent="0.2">
      <c r="A1653" s="27">
        <v>84326</v>
      </c>
      <c r="B1653">
        <v>84326</v>
      </c>
      <c r="C1653" t="s">
        <v>1290</v>
      </c>
      <c r="D1653" t="s">
        <v>3484</v>
      </c>
      <c r="E1653" t="s">
        <v>3484</v>
      </c>
    </row>
    <row r="1654" spans="1:5" ht="15" customHeight="1" x14ac:dyDescent="0.2">
      <c r="A1654" s="27">
        <v>84335</v>
      </c>
      <c r="B1654">
        <v>84335</v>
      </c>
      <c r="C1654" t="s">
        <v>1291</v>
      </c>
      <c r="D1654" t="s">
        <v>3484</v>
      </c>
      <c r="E1654" t="s">
        <v>3484</v>
      </c>
    </row>
    <row r="1655" spans="1:5" ht="15" customHeight="1" x14ac:dyDescent="0.2">
      <c r="A1655" s="27">
        <v>84336</v>
      </c>
      <c r="B1655">
        <v>84336</v>
      </c>
      <c r="C1655" t="s">
        <v>1292</v>
      </c>
      <c r="D1655" t="s">
        <v>3484</v>
      </c>
      <c r="E1655" t="s">
        <v>3484</v>
      </c>
    </row>
    <row r="1656" spans="1:5" ht="15" customHeight="1" x14ac:dyDescent="0.2">
      <c r="A1656" s="27">
        <v>84338</v>
      </c>
      <c r="B1656">
        <v>84338</v>
      </c>
      <c r="C1656" t="s">
        <v>1293</v>
      </c>
      <c r="D1656" t="s">
        <v>3484</v>
      </c>
      <c r="E1656" t="s">
        <v>3484</v>
      </c>
    </row>
    <row r="1657" spans="1:5" ht="15" customHeight="1" x14ac:dyDescent="0.2">
      <c r="A1657" s="27">
        <v>84655</v>
      </c>
      <c r="B1657">
        <v>84655</v>
      </c>
      <c r="C1657" t="s">
        <v>1296</v>
      </c>
      <c r="D1657" t="s">
        <v>3484</v>
      </c>
      <c r="E1657" t="s">
        <v>3484</v>
      </c>
    </row>
    <row r="1658" spans="1:5" ht="15" customHeight="1" x14ac:dyDescent="0.2">
      <c r="A1658" s="27">
        <v>8810</v>
      </c>
      <c r="B1658" s="26">
        <v>8810</v>
      </c>
      <c r="C1658" t="s">
        <v>2471</v>
      </c>
      <c r="D1658" t="s">
        <v>2472</v>
      </c>
      <c r="E1658" t="s">
        <v>3484</v>
      </c>
    </row>
    <row r="1659" spans="1:5" ht="15" customHeight="1" x14ac:dyDescent="0.2">
      <c r="A1659" s="27">
        <v>84295</v>
      </c>
      <c r="B1659" s="26">
        <v>84295</v>
      </c>
      <c r="C1659" t="s">
        <v>2676</v>
      </c>
      <c r="D1659" t="s">
        <v>2472</v>
      </c>
      <c r="E1659" t="s">
        <v>3484</v>
      </c>
    </row>
    <row r="1660" spans="1:5" ht="15" customHeight="1" x14ac:dyDescent="0.2">
      <c r="A1660" s="27">
        <v>84235</v>
      </c>
      <c r="B1660" s="26">
        <v>84235</v>
      </c>
      <c r="C1660" t="s">
        <v>672</v>
      </c>
      <c r="D1660" t="s">
        <v>2472</v>
      </c>
      <c r="E1660" t="s">
        <v>3484</v>
      </c>
    </row>
    <row r="1661" spans="1:5" ht="15" customHeight="1" x14ac:dyDescent="0.2">
      <c r="A1661" s="27">
        <v>84229</v>
      </c>
      <c r="B1661" s="26">
        <v>84229</v>
      </c>
      <c r="C1661" t="s">
        <v>2677</v>
      </c>
      <c r="D1661" t="s">
        <v>2472</v>
      </c>
      <c r="E1661" t="s">
        <v>3484</v>
      </c>
    </row>
    <row r="1662" spans="1:5" ht="15" customHeight="1" x14ac:dyDescent="0.2">
      <c r="A1662" s="27">
        <v>84105</v>
      </c>
      <c r="B1662" s="26">
        <v>84105</v>
      </c>
      <c r="C1662" t="s">
        <v>841</v>
      </c>
      <c r="D1662" t="s">
        <v>2472</v>
      </c>
      <c r="E1662" t="s">
        <v>3484</v>
      </c>
    </row>
    <row r="1663" spans="1:5" ht="15" customHeight="1" x14ac:dyDescent="0.2">
      <c r="A1663" s="27">
        <v>841055</v>
      </c>
      <c r="B1663" s="26">
        <v>841055</v>
      </c>
      <c r="C1663" t="s">
        <v>3045</v>
      </c>
      <c r="D1663" t="s">
        <v>2472</v>
      </c>
      <c r="E1663" t="s">
        <v>3484</v>
      </c>
    </row>
    <row r="1664" spans="1:5" ht="15" customHeight="1" x14ac:dyDescent="0.2">
      <c r="A1664" s="27">
        <v>1826</v>
      </c>
      <c r="B1664" s="26">
        <v>1826</v>
      </c>
      <c r="C1664" t="s">
        <v>1408</v>
      </c>
      <c r="D1664" t="s">
        <v>2472</v>
      </c>
      <c r="E1664" t="s">
        <v>3484</v>
      </c>
    </row>
    <row r="1665" spans="1:5" ht="15" customHeight="1" x14ac:dyDescent="0.2">
      <c r="A1665" s="27">
        <v>8464</v>
      </c>
      <c r="B1665" s="26">
        <v>8464</v>
      </c>
      <c r="C1665" t="s">
        <v>1411</v>
      </c>
      <c r="D1665" t="s">
        <v>2472</v>
      </c>
      <c r="E1665" t="s">
        <v>3484</v>
      </c>
    </row>
    <row r="1666" spans="1:5" ht="15" customHeight="1" x14ac:dyDescent="0.2">
      <c r="A1666" s="27">
        <v>84915</v>
      </c>
      <c r="B1666" s="26">
        <v>84915</v>
      </c>
      <c r="C1666" t="s">
        <v>2969</v>
      </c>
      <c r="D1666" t="s">
        <v>2472</v>
      </c>
      <c r="E1666" t="s">
        <v>3484</v>
      </c>
    </row>
    <row r="1667" spans="1:5" ht="15" customHeight="1" x14ac:dyDescent="0.2">
      <c r="A1667" s="27">
        <v>84293</v>
      </c>
      <c r="B1667" s="26">
        <v>84293</v>
      </c>
      <c r="C1667" t="s">
        <v>2970</v>
      </c>
      <c r="D1667" t="s">
        <v>2472</v>
      </c>
      <c r="E1667" t="s">
        <v>3484</v>
      </c>
    </row>
    <row r="1668" spans="1:5" ht="15" customHeight="1" x14ac:dyDescent="0.2">
      <c r="A1668" s="27">
        <v>8446</v>
      </c>
      <c r="B1668" s="26">
        <v>8446</v>
      </c>
      <c r="C1668" t="s">
        <v>3015</v>
      </c>
      <c r="D1668" t="s">
        <v>2472</v>
      </c>
      <c r="E1668" t="s">
        <v>3484</v>
      </c>
    </row>
    <row r="1669" spans="1:5" ht="15" customHeight="1" x14ac:dyDescent="0.2">
      <c r="A1669" s="27" t="s">
        <v>3416</v>
      </c>
      <c r="B1669" t="s">
        <v>3413</v>
      </c>
      <c r="C1669" t="s">
        <v>3417</v>
      </c>
      <c r="D1669" t="s">
        <v>3415</v>
      </c>
      <c r="E1669" t="s">
        <v>3415</v>
      </c>
    </row>
    <row r="1670" spans="1:5" ht="15" customHeight="1" x14ac:dyDescent="0.2">
      <c r="A1670" s="27" t="s">
        <v>3412</v>
      </c>
      <c r="B1670" t="s">
        <v>3413</v>
      </c>
      <c r="C1670" t="s">
        <v>3414</v>
      </c>
      <c r="D1670" t="s">
        <v>3415</v>
      </c>
      <c r="E1670" t="s">
        <v>3415</v>
      </c>
    </row>
    <row r="1671" spans="1:5" ht="15" customHeight="1" x14ac:dyDescent="0.2">
      <c r="A1671" s="27" t="s">
        <v>1561</v>
      </c>
      <c r="B1671" t="s">
        <v>1561</v>
      </c>
      <c r="C1671" t="s">
        <v>1562</v>
      </c>
      <c r="D1671" t="s">
        <v>3492</v>
      </c>
      <c r="E1671" t="s">
        <v>3493</v>
      </c>
    </row>
    <row r="1672" spans="1:5" ht="15" customHeight="1" x14ac:dyDescent="0.2">
      <c r="A1672" s="27" t="s">
        <v>1563</v>
      </c>
      <c r="B1672" t="s">
        <v>1563</v>
      </c>
      <c r="C1672" t="s">
        <v>1564</v>
      </c>
      <c r="D1672" t="s">
        <v>3492</v>
      </c>
      <c r="E1672" t="s">
        <v>3493</v>
      </c>
    </row>
    <row r="1673" spans="1:5" ht="15" customHeight="1" x14ac:dyDescent="0.2">
      <c r="A1673" s="27" t="s">
        <v>1565</v>
      </c>
      <c r="B1673" t="s">
        <v>1565</v>
      </c>
      <c r="C1673" t="s">
        <v>1566</v>
      </c>
      <c r="D1673" t="s">
        <v>3492</v>
      </c>
      <c r="E1673" t="s">
        <v>3493</v>
      </c>
    </row>
    <row r="1674" spans="1:5" ht="15" customHeight="1" x14ac:dyDescent="0.2">
      <c r="A1674" s="27" t="s">
        <v>1567</v>
      </c>
      <c r="B1674" t="s">
        <v>1567</v>
      </c>
      <c r="C1674" t="s">
        <v>1568</v>
      </c>
      <c r="D1674" t="s">
        <v>3492</v>
      </c>
      <c r="E1674" t="s">
        <v>3493</v>
      </c>
    </row>
    <row r="1675" spans="1:5" ht="15" customHeight="1" x14ac:dyDescent="0.2">
      <c r="A1675" s="27" t="s">
        <v>7</v>
      </c>
      <c r="B1675" t="s">
        <v>8</v>
      </c>
      <c r="C1675" t="s">
        <v>9</v>
      </c>
      <c r="D1675" t="s">
        <v>3492</v>
      </c>
      <c r="E1675" t="s">
        <v>3493</v>
      </c>
    </row>
    <row r="1676" spans="1:5" ht="15" customHeight="1" x14ac:dyDescent="0.2">
      <c r="A1676" s="27" t="s">
        <v>28</v>
      </c>
      <c r="B1676" t="s">
        <v>29</v>
      </c>
      <c r="C1676" t="s">
        <v>30</v>
      </c>
      <c r="D1676" t="s">
        <v>3492</v>
      </c>
      <c r="E1676" t="s">
        <v>3493</v>
      </c>
    </row>
    <row r="1677" spans="1:5" ht="15" customHeight="1" x14ac:dyDescent="0.2">
      <c r="A1677" s="27" t="s">
        <v>148</v>
      </c>
      <c r="B1677" t="s">
        <v>149</v>
      </c>
      <c r="C1677" t="s">
        <v>150</v>
      </c>
      <c r="D1677" t="s">
        <v>3492</v>
      </c>
      <c r="E1677" t="s">
        <v>3493</v>
      </c>
    </row>
    <row r="1678" spans="1:5" ht="15" customHeight="1" x14ac:dyDescent="0.2">
      <c r="A1678" s="27" t="s">
        <v>151</v>
      </c>
      <c r="B1678" t="s">
        <v>151</v>
      </c>
      <c r="C1678" t="s">
        <v>152</v>
      </c>
      <c r="D1678" t="s">
        <v>3492</v>
      </c>
      <c r="E1678" t="s">
        <v>3493</v>
      </c>
    </row>
    <row r="1679" spans="1:5" ht="15" customHeight="1" x14ac:dyDescent="0.2">
      <c r="A1679" s="27" t="s">
        <v>162</v>
      </c>
      <c r="B1679" t="s">
        <v>162</v>
      </c>
      <c r="C1679" t="s">
        <v>163</v>
      </c>
      <c r="D1679" t="s">
        <v>3492</v>
      </c>
      <c r="E1679" t="s">
        <v>3493</v>
      </c>
    </row>
    <row r="1680" spans="1:5" ht="15" customHeight="1" x14ac:dyDescent="0.2">
      <c r="A1680" s="27" t="s">
        <v>2714</v>
      </c>
      <c r="B1680" t="s">
        <v>2715</v>
      </c>
      <c r="C1680" t="s">
        <v>2716</v>
      </c>
      <c r="D1680" t="s">
        <v>3492</v>
      </c>
      <c r="E1680" t="s">
        <v>3493</v>
      </c>
    </row>
    <row r="1681" spans="1:5" ht="15" customHeight="1" x14ac:dyDescent="0.2">
      <c r="A1681" s="27" t="s">
        <v>847</v>
      </c>
      <c r="B1681" t="s">
        <v>848</v>
      </c>
      <c r="C1681" t="s">
        <v>849</v>
      </c>
      <c r="D1681" t="s">
        <v>3492</v>
      </c>
      <c r="E1681" t="s">
        <v>3493</v>
      </c>
    </row>
    <row r="1682" spans="1:5" ht="15" customHeight="1" x14ac:dyDescent="0.2">
      <c r="A1682" s="27" t="s">
        <v>3118</v>
      </c>
      <c r="B1682" t="s">
        <v>3119</v>
      </c>
      <c r="C1682" t="s">
        <v>3120</v>
      </c>
      <c r="D1682" t="s">
        <v>3492</v>
      </c>
      <c r="E1682" t="s">
        <v>3493</v>
      </c>
    </row>
    <row r="1683" spans="1:5" ht="15" customHeight="1" x14ac:dyDescent="0.2">
      <c r="A1683" s="27" t="s">
        <v>3598</v>
      </c>
      <c r="B1683" t="s">
        <v>3598</v>
      </c>
      <c r="C1683" t="s">
        <v>3601</v>
      </c>
      <c r="D1683" t="s">
        <v>3492</v>
      </c>
      <c r="E1683" t="s">
        <v>3493</v>
      </c>
    </row>
    <row r="1684" spans="1:5" ht="15" customHeight="1" x14ac:dyDescent="0.2">
      <c r="A1684" s="27" t="s">
        <v>3599</v>
      </c>
      <c r="B1684" t="s">
        <v>3599</v>
      </c>
      <c r="C1684" t="s">
        <v>3602</v>
      </c>
      <c r="D1684" t="s">
        <v>3492</v>
      </c>
      <c r="E1684" t="s">
        <v>3493</v>
      </c>
    </row>
    <row r="1685" spans="1:5" ht="15" customHeight="1" x14ac:dyDescent="0.2">
      <c r="A1685" s="27" t="s">
        <v>3600</v>
      </c>
      <c r="B1685" t="s">
        <v>3600</v>
      </c>
      <c r="C1685" t="s">
        <v>3603</v>
      </c>
      <c r="D1685" t="s">
        <v>3492</v>
      </c>
      <c r="E1685" t="s">
        <v>3493</v>
      </c>
    </row>
    <row r="1686" spans="1:5" ht="15" customHeight="1" x14ac:dyDescent="0.2">
      <c r="A1686" s="27">
        <v>70111017</v>
      </c>
      <c r="B1686" s="27">
        <v>70111017</v>
      </c>
      <c r="C1686" t="s">
        <v>746</v>
      </c>
      <c r="D1686" t="s">
        <v>743</v>
      </c>
      <c r="E1686" t="s">
        <v>744</v>
      </c>
    </row>
    <row r="1687" spans="1:5" ht="15" customHeight="1" x14ac:dyDescent="0.2">
      <c r="A1687" s="27">
        <v>70111021</v>
      </c>
      <c r="B1687" s="27">
        <v>70111021</v>
      </c>
      <c r="C1687" t="s">
        <v>745</v>
      </c>
      <c r="D1687" t="s">
        <v>743</v>
      </c>
      <c r="E1687" t="s">
        <v>744</v>
      </c>
    </row>
    <row r="1688" spans="1:5" ht="15" customHeight="1" x14ac:dyDescent="0.2">
      <c r="A1688" s="27">
        <v>70111016</v>
      </c>
      <c r="B1688" s="27">
        <v>70111016</v>
      </c>
      <c r="C1688" t="s">
        <v>747</v>
      </c>
      <c r="D1688" t="s">
        <v>743</v>
      </c>
      <c r="E1688" t="s">
        <v>744</v>
      </c>
    </row>
    <row r="1689" spans="1:5" ht="15" customHeight="1" x14ac:dyDescent="0.2">
      <c r="A1689" s="27">
        <v>70111025</v>
      </c>
      <c r="B1689" s="27">
        <v>70111025</v>
      </c>
      <c r="C1689" t="s">
        <v>748</v>
      </c>
      <c r="D1689" t="s">
        <v>743</v>
      </c>
      <c r="E1689" t="s">
        <v>744</v>
      </c>
    </row>
    <row r="1690" spans="1:5" ht="15" customHeight="1" x14ac:dyDescent="0.2">
      <c r="A1690" s="27">
        <v>70111024</v>
      </c>
      <c r="B1690" s="27">
        <v>70111024</v>
      </c>
      <c r="C1690" t="s">
        <v>749</v>
      </c>
      <c r="D1690" t="s">
        <v>743</v>
      </c>
      <c r="E1690" t="s">
        <v>744</v>
      </c>
    </row>
    <row r="1691" spans="1:5" ht="15" customHeight="1" x14ac:dyDescent="0.2">
      <c r="A1691" s="27">
        <v>70111008</v>
      </c>
      <c r="B1691" s="27">
        <v>70111008</v>
      </c>
      <c r="C1691" t="s">
        <v>750</v>
      </c>
      <c r="D1691" t="s">
        <v>743</v>
      </c>
      <c r="E1691" t="s">
        <v>744</v>
      </c>
    </row>
    <row r="1692" spans="1:5" ht="15" customHeight="1" x14ac:dyDescent="0.2">
      <c r="A1692" s="27">
        <v>70111011</v>
      </c>
      <c r="B1692" s="27">
        <v>70111011</v>
      </c>
      <c r="C1692" t="s">
        <v>751</v>
      </c>
      <c r="D1692" t="s">
        <v>743</v>
      </c>
      <c r="E1692" t="s">
        <v>744</v>
      </c>
    </row>
    <row r="1693" spans="1:5" ht="15" customHeight="1" x14ac:dyDescent="0.2">
      <c r="A1693" s="27">
        <v>70111010</v>
      </c>
      <c r="B1693" s="27">
        <v>70111010</v>
      </c>
      <c r="C1693" t="s">
        <v>3102</v>
      </c>
      <c r="D1693" t="s">
        <v>743</v>
      </c>
      <c r="E1693" t="s">
        <v>744</v>
      </c>
    </row>
    <row r="1694" spans="1:5" ht="15" customHeight="1" x14ac:dyDescent="0.2">
      <c r="A1694" s="27">
        <v>70111009</v>
      </c>
      <c r="B1694" s="27">
        <v>70111009</v>
      </c>
      <c r="C1694" t="s">
        <v>752</v>
      </c>
      <c r="D1694" t="s">
        <v>743</v>
      </c>
      <c r="E1694" t="s">
        <v>744</v>
      </c>
    </row>
    <row r="1695" spans="1:5" ht="15" customHeight="1" x14ac:dyDescent="0.2">
      <c r="A1695" s="27">
        <v>70113010</v>
      </c>
      <c r="B1695" s="27">
        <v>70113010</v>
      </c>
      <c r="C1695" t="s">
        <v>3103</v>
      </c>
      <c r="D1695" t="s">
        <v>743</v>
      </c>
      <c r="E1695" t="s">
        <v>744</v>
      </c>
    </row>
    <row r="1696" spans="1:5" ht="15" customHeight="1" x14ac:dyDescent="0.2">
      <c r="A1696" s="27">
        <v>70113016</v>
      </c>
      <c r="B1696" s="27">
        <v>70113016</v>
      </c>
      <c r="C1696" t="s">
        <v>3105</v>
      </c>
      <c r="D1696" t="s">
        <v>743</v>
      </c>
      <c r="E1696" t="s">
        <v>744</v>
      </c>
    </row>
    <row r="1697" spans="1:5" ht="15" customHeight="1" x14ac:dyDescent="0.2">
      <c r="A1697" s="27">
        <v>70113008</v>
      </c>
      <c r="B1697" s="27">
        <v>70113008</v>
      </c>
      <c r="C1697" t="s">
        <v>3106</v>
      </c>
      <c r="D1697" t="s">
        <v>743</v>
      </c>
      <c r="E1697" t="s">
        <v>744</v>
      </c>
    </row>
    <row r="1698" spans="1:5" ht="15" customHeight="1" x14ac:dyDescent="0.2">
      <c r="A1698" s="27">
        <v>70135401</v>
      </c>
      <c r="B1698" s="27">
        <v>70135401</v>
      </c>
      <c r="C1698" t="s">
        <v>1442</v>
      </c>
      <c r="D1698" t="s">
        <v>743</v>
      </c>
      <c r="E1698" t="s">
        <v>744</v>
      </c>
    </row>
    <row r="1699" spans="1:5" ht="15" customHeight="1" x14ac:dyDescent="0.2">
      <c r="A1699" s="27">
        <v>70135901</v>
      </c>
      <c r="B1699" s="27">
        <v>70135901</v>
      </c>
      <c r="C1699" t="s">
        <v>1443</v>
      </c>
      <c r="D1699" t="s">
        <v>743</v>
      </c>
      <c r="E1699" t="s">
        <v>744</v>
      </c>
    </row>
    <row r="1700" spans="1:5" ht="15" customHeight="1" x14ac:dyDescent="0.2">
      <c r="A1700" s="27">
        <v>70112016</v>
      </c>
      <c r="B1700" s="27">
        <v>70112016</v>
      </c>
      <c r="C1700" t="s">
        <v>3651</v>
      </c>
      <c r="D1700" t="s">
        <v>743</v>
      </c>
      <c r="E1700" t="s">
        <v>744</v>
      </c>
    </row>
    <row r="1701" spans="1:5" ht="15" customHeight="1" x14ac:dyDescent="0.2">
      <c r="A1701" s="27" t="s">
        <v>757</v>
      </c>
      <c r="B1701" s="27" t="s">
        <v>758</v>
      </c>
      <c r="C1701" t="s">
        <v>759</v>
      </c>
      <c r="D1701" s="44" t="s">
        <v>755</v>
      </c>
      <c r="E1701" s="44" t="s">
        <v>754</v>
      </c>
    </row>
    <row r="1702" spans="1:5" ht="15" customHeight="1" x14ac:dyDescent="0.2">
      <c r="A1702" s="27" t="s">
        <v>760</v>
      </c>
      <c r="B1702" s="27" t="s">
        <v>761</v>
      </c>
      <c r="C1702" t="s">
        <v>762</v>
      </c>
      <c r="D1702" s="44" t="s">
        <v>755</v>
      </c>
      <c r="E1702" s="44" t="s">
        <v>754</v>
      </c>
    </row>
    <row r="1703" spans="1:5" ht="15" customHeight="1" x14ac:dyDescent="0.2">
      <c r="A1703" s="27" t="s">
        <v>763</v>
      </c>
      <c r="B1703" s="27" t="s">
        <v>764</v>
      </c>
      <c r="C1703" t="s">
        <v>765</v>
      </c>
      <c r="D1703" s="44" t="s">
        <v>755</v>
      </c>
      <c r="E1703" s="44" t="s">
        <v>754</v>
      </c>
    </row>
    <row r="1704" spans="1:5" ht="15" customHeight="1" x14ac:dyDescent="0.2">
      <c r="A1704" s="27" t="s">
        <v>921</v>
      </c>
      <c r="B1704" s="27" t="s">
        <v>922</v>
      </c>
      <c r="C1704" t="s">
        <v>923</v>
      </c>
      <c r="D1704" s="44" t="s">
        <v>925</v>
      </c>
      <c r="E1704" s="44" t="s">
        <v>926</v>
      </c>
    </row>
    <row r="1705" spans="1:5" ht="15" customHeight="1" x14ac:dyDescent="0.2">
      <c r="A1705" s="27" t="s">
        <v>2909</v>
      </c>
      <c r="B1705" t="s">
        <v>2895</v>
      </c>
      <c r="C1705" s="39" t="s">
        <v>2910</v>
      </c>
      <c r="D1705" s="39" t="s">
        <v>2896</v>
      </c>
      <c r="E1705" s="39" t="s">
        <v>2897</v>
      </c>
    </row>
    <row r="1706" spans="1:5" ht="15" customHeight="1" x14ac:dyDescent="0.2">
      <c r="A1706" s="27" t="s">
        <v>2911</v>
      </c>
      <c r="B1706" t="s">
        <v>2898</v>
      </c>
      <c r="C1706" s="63" t="s">
        <v>2914</v>
      </c>
      <c r="D1706" s="39" t="s">
        <v>2896</v>
      </c>
      <c r="E1706" s="39" t="s">
        <v>2896</v>
      </c>
    </row>
    <row r="1707" spans="1:5" ht="15" customHeight="1" x14ac:dyDescent="0.2">
      <c r="A1707" s="27" t="s">
        <v>2912</v>
      </c>
      <c r="B1707" t="s">
        <v>2899</v>
      </c>
      <c r="C1707" s="39" t="s">
        <v>2913</v>
      </c>
      <c r="D1707" s="39" t="s">
        <v>2900</v>
      </c>
      <c r="E1707" s="39" t="s">
        <v>2900</v>
      </c>
    </row>
    <row r="1708" spans="1:5" ht="15" customHeight="1" x14ac:dyDescent="0.2">
      <c r="A1708" s="27" t="s">
        <v>2915</v>
      </c>
      <c r="B1708" t="s">
        <v>2901</v>
      </c>
      <c r="C1708" s="39" t="s">
        <v>2916</v>
      </c>
      <c r="D1708" s="39" t="s">
        <v>2896</v>
      </c>
      <c r="E1708" s="39" t="s">
        <v>2896</v>
      </c>
    </row>
    <row r="1709" spans="1:5" ht="15" customHeight="1" x14ac:dyDescent="0.2">
      <c r="A1709" s="27" t="s">
        <v>2917</v>
      </c>
      <c r="B1709" t="s">
        <v>2918</v>
      </c>
      <c r="C1709" s="39" t="s">
        <v>2919</v>
      </c>
      <c r="D1709" s="39" t="s">
        <v>2894</v>
      </c>
      <c r="E1709" s="39" t="s">
        <v>2894</v>
      </c>
    </row>
    <row r="1710" spans="1:5" ht="15" customHeight="1" x14ac:dyDescent="0.2">
      <c r="A1710" s="27" t="s">
        <v>2920</v>
      </c>
      <c r="B1710" t="s">
        <v>2922</v>
      </c>
      <c r="C1710" s="39" t="s">
        <v>2921</v>
      </c>
      <c r="D1710" s="39" t="s">
        <v>2894</v>
      </c>
      <c r="E1710" s="39" t="s">
        <v>2894</v>
      </c>
    </row>
    <row r="1711" spans="1:5" ht="15" customHeight="1" x14ac:dyDescent="0.2">
      <c r="A1711" s="27" t="s">
        <v>2923</v>
      </c>
      <c r="B1711" t="s">
        <v>2924</v>
      </c>
      <c r="C1711" s="39" t="s">
        <v>2925</v>
      </c>
      <c r="D1711" s="39" t="s">
        <v>2894</v>
      </c>
      <c r="E1711" s="39" t="s">
        <v>2894</v>
      </c>
    </row>
    <row r="1712" spans="1:5" ht="15" customHeight="1" x14ac:dyDescent="0.2">
      <c r="A1712" s="27" t="s">
        <v>2926</v>
      </c>
      <c r="B1712" t="s">
        <v>2927</v>
      </c>
      <c r="C1712" s="39" t="s">
        <v>2928</v>
      </c>
      <c r="D1712" s="39" t="s">
        <v>2929</v>
      </c>
      <c r="E1712" s="39" t="s">
        <v>2894</v>
      </c>
    </row>
    <row r="1713" spans="1:5" ht="15" customHeight="1" x14ac:dyDescent="0.2">
      <c r="A1713" s="27" t="s">
        <v>2930</v>
      </c>
      <c r="B1713" t="s">
        <v>2931</v>
      </c>
      <c r="C1713" s="39" t="s">
        <v>2932</v>
      </c>
      <c r="D1713" s="39" t="s">
        <v>2933</v>
      </c>
      <c r="E1713" s="39" t="s">
        <v>2894</v>
      </c>
    </row>
    <row r="1714" spans="1:5" ht="15" customHeight="1" x14ac:dyDescent="0.2">
      <c r="A1714" s="27" t="s">
        <v>2934</v>
      </c>
      <c r="B1714" t="s">
        <v>2935</v>
      </c>
      <c r="C1714" s="39" t="s">
        <v>2936</v>
      </c>
      <c r="D1714" s="39" t="s">
        <v>2937</v>
      </c>
      <c r="E1714" s="39" t="s">
        <v>2894</v>
      </c>
    </row>
    <row r="1715" spans="1:5" ht="15" customHeight="1" x14ac:dyDescent="0.2">
      <c r="A1715" s="27" t="s">
        <v>2939</v>
      </c>
      <c r="B1715" t="s">
        <v>2938</v>
      </c>
      <c r="C1715" s="39" t="s">
        <v>2940</v>
      </c>
      <c r="D1715" s="39" t="s">
        <v>2933</v>
      </c>
      <c r="E1715" s="39" t="s">
        <v>2894</v>
      </c>
    </row>
    <row r="1716" spans="1:5" ht="15" customHeight="1" x14ac:dyDescent="0.2">
      <c r="A1716" s="27" t="s">
        <v>2941</v>
      </c>
      <c r="B1716" t="s">
        <v>2942</v>
      </c>
      <c r="C1716" s="39" t="s">
        <v>2943</v>
      </c>
      <c r="D1716" s="39" t="s">
        <v>2933</v>
      </c>
      <c r="E1716" s="39" t="s">
        <v>2894</v>
      </c>
    </row>
    <row r="1717" spans="1:5" ht="15" customHeight="1" x14ac:dyDescent="0.2">
      <c r="A1717" s="27" t="s">
        <v>2945</v>
      </c>
      <c r="B1717" t="s">
        <v>2944</v>
      </c>
      <c r="C1717" s="39" t="s">
        <v>2946</v>
      </c>
      <c r="D1717" s="39" t="s">
        <v>2929</v>
      </c>
      <c r="E1717" s="39" t="s">
        <v>2894</v>
      </c>
    </row>
    <row r="1718" spans="1:5" ht="15" customHeight="1" x14ac:dyDescent="0.2">
      <c r="A1718" s="27" t="s">
        <v>2947</v>
      </c>
      <c r="B1718" t="s">
        <v>2948</v>
      </c>
      <c r="C1718" s="39" t="s">
        <v>2949</v>
      </c>
      <c r="D1718" s="39" t="s">
        <v>2894</v>
      </c>
      <c r="E1718" s="39" t="s">
        <v>2894</v>
      </c>
    </row>
    <row r="1719" spans="1:5" ht="15" customHeight="1" x14ac:dyDescent="0.2">
      <c r="A1719" s="27" t="s">
        <v>2950</v>
      </c>
      <c r="B1719" t="s">
        <v>2951</v>
      </c>
      <c r="C1719" s="39" t="s">
        <v>2952</v>
      </c>
      <c r="D1719" s="39" t="s">
        <v>2894</v>
      </c>
      <c r="E1719" s="39" t="s">
        <v>2894</v>
      </c>
    </row>
    <row r="1720" spans="1:5" ht="15" customHeight="1" x14ac:dyDescent="0.2">
      <c r="A1720" s="27" t="s">
        <v>2954</v>
      </c>
      <c r="B1720" t="s">
        <v>2953</v>
      </c>
      <c r="C1720" s="39" t="s">
        <v>2955</v>
      </c>
      <c r="D1720" s="39" t="s">
        <v>2929</v>
      </c>
      <c r="E1720" s="39" t="s">
        <v>2894</v>
      </c>
    </row>
    <row r="1721" spans="1:5" ht="15" customHeight="1" x14ac:dyDescent="0.2">
      <c r="A1721" s="27" t="s">
        <v>2956</v>
      </c>
      <c r="B1721" t="s">
        <v>2957</v>
      </c>
      <c r="C1721" s="39" t="s">
        <v>2958</v>
      </c>
      <c r="D1721" s="39" t="s">
        <v>2894</v>
      </c>
      <c r="E1721" s="39" t="s">
        <v>2894</v>
      </c>
    </row>
    <row r="1722" spans="1:5" ht="15" customHeight="1" x14ac:dyDescent="0.2">
      <c r="A1722" s="27" t="s">
        <v>3670</v>
      </c>
      <c r="B1722" t="s">
        <v>3670</v>
      </c>
      <c r="C1722" s="39" t="s">
        <v>2346</v>
      </c>
      <c r="D1722" s="39" t="s">
        <v>3031</v>
      </c>
      <c r="E1722" t="s">
        <v>3032</v>
      </c>
    </row>
    <row r="1723" spans="1:5" ht="15" customHeight="1" x14ac:dyDescent="0.2">
      <c r="A1723" s="27" t="s">
        <v>3669</v>
      </c>
      <c r="B1723" t="s">
        <v>3669</v>
      </c>
      <c r="C1723" s="39" t="s">
        <v>2347</v>
      </c>
      <c r="D1723" s="39" t="s">
        <v>3031</v>
      </c>
      <c r="E1723" t="s">
        <v>3032</v>
      </c>
    </row>
    <row r="1724" spans="1:5" ht="15" customHeight="1" x14ac:dyDescent="0.2">
      <c r="A1724" s="27" t="s">
        <v>3024</v>
      </c>
      <c r="B1724" t="s">
        <v>3025</v>
      </c>
      <c r="C1724" s="39" t="s">
        <v>2345</v>
      </c>
      <c r="D1724" t="s">
        <v>3033</v>
      </c>
      <c r="E1724" t="s">
        <v>3034</v>
      </c>
    </row>
    <row r="1725" spans="1:5" ht="15" customHeight="1" x14ac:dyDescent="0.2">
      <c r="A1725" s="27" t="s">
        <v>324</v>
      </c>
      <c r="B1725" s="27" t="s">
        <v>324</v>
      </c>
      <c r="C1725" s="73" t="s">
        <v>2353</v>
      </c>
      <c r="D1725" t="s">
        <v>3033</v>
      </c>
      <c r="E1725" t="s">
        <v>3034</v>
      </c>
    </row>
    <row r="1726" spans="1:5" ht="15" customHeight="1" x14ac:dyDescent="0.2">
      <c r="A1726" s="27" t="s">
        <v>3026</v>
      </c>
      <c r="B1726" t="s">
        <v>3027</v>
      </c>
      <c r="C1726" s="39" t="s">
        <v>2344</v>
      </c>
      <c r="D1726" t="s">
        <v>3033</v>
      </c>
      <c r="E1726" t="s">
        <v>3034</v>
      </c>
    </row>
    <row r="1727" spans="1:5" ht="15" customHeight="1" x14ac:dyDescent="0.2">
      <c r="A1727" s="27" t="s">
        <v>318</v>
      </c>
      <c r="B1727" t="s">
        <v>318</v>
      </c>
      <c r="C1727" s="73" t="s">
        <v>319</v>
      </c>
      <c r="D1727" s="74" t="s">
        <v>2354</v>
      </c>
      <c r="E1727" t="s">
        <v>3034</v>
      </c>
    </row>
    <row r="1728" spans="1:5" ht="15" customHeight="1" x14ac:dyDescent="0.2">
      <c r="A1728" s="27" t="s">
        <v>321</v>
      </c>
      <c r="B1728" t="s">
        <v>321</v>
      </c>
      <c r="C1728" s="73" t="s">
        <v>320</v>
      </c>
      <c r="D1728" s="74" t="s">
        <v>2354</v>
      </c>
      <c r="E1728" t="s">
        <v>3034</v>
      </c>
    </row>
    <row r="1729" spans="1:7" ht="15" customHeight="1" x14ac:dyDescent="0.2">
      <c r="A1729" s="27" t="s">
        <v>322</v>
      </c>
      <c r="B1729" t="s">
        <v>322</v>
      </c>
      <c r="C1729" s="73" t="s">
        <v>323</v>
      </c>
      <c r="D1729" s="74" t="s">
        <v>2354</v>
      </c>
      <c r="E1729" t="s">
        <v>3034</v>
      </c>
    </row>
    <row r="1730" spans="1:7" ht="15" customHeight="1" x14ac:dyDescent="0.2">
      <c r="A1730" s="27" t="s">
        <v>3028</v>
      </c>
      <c r="B1730" t="s">
        <v>3028</v>
      </c>
      <c r="C1730" t="s">
        <v>2348</v>
      </c>
      <c r="D1730" t="s">
        <v>3035</v>
      </c>
      <c r="E1730" t="s">
        <v>3038</v>
      </c>
    </row>
    <row r="1731" spans="1:7" ht="15" customHeight="1" x14ac:dyDescent="0.2">
      <c r="A1731" s="27" t="s">
        <v>3029</v>
      </c>
      <c r="B1731" t="s">
        <v>3030</v>
      </c>
      <c r="C1731" t="s">
        <v>2349</v>
      </c>
      <c r="D1731" t="s">
        <v>3036</v>
      </c>
      <c r="E1731" t="s">
        <v>3037</v>
      </c>
    </row>
    <row r="1732" spans="1:7" ht="15" customHeight="1" x14ac:dyDescent="0.2">
      <c r="A1732" s="27" t="s">
        <v>3627</v>
      </c>
      <c r="B1732" t="s">
        <v>3627</v>
      </c>
      <c r="C1732" s="76" t="s">
        <v>3634</v>
      </c>
      <c r="D1732" s="44" t="s">
        <v>3624</v>
      </c>
      <c r="E1732" s="44" t="s">
        <v>3625</v>
      </c>
      <c r="G1732" t="str">
        <f>LEFT(C1732,FIND("(",C1732)-1)</f>
        <v>ドライショートスリーブTシャツ</v>
      </c>
    </row>
    <row r="1733" spans="1:7" ht="15" customHeight="1" x14ac:dyDescent="0.2">
      <c r="A1733" s="27" t="s">
        <v>3628</v>
      </c>
      <c r="B1733" t="s">
        <v>3628</v>
      </c>
      <c r="C1733" s="76" t="s">
        <v>3641</v>
      </c>
      <c r="D1733" s="44" t="s">
        <v>3624</v>
      </c>
      <c r="E1733" s="44" t="s">
        <v>3625</v>
      </c>
      <c r="G1733" t="str">
        <f t="shared" ref="G1733:G1740" si="0">LEFT(C1733,FIND("(",C1733)-1)</f>
        <v>ドライショートスリーブTシャツ</v>
      </c>
    </row>
    <row r="1734" spans="1:7" ht="15" customHeight="1" x14ac:dyDescent="0.2">
      <c r="A1734" s="27" t="s">
        <v>3629</v>
      </c>
      <c r="B1734" t="s">
        <v>3629</v>
      </c>
      <c r="C1734" s="76" t="s">
        <v>3635</v>
      </c>
      <c r="D1734" s="44" t="s">
        <v>3624</v>
      </c>
      <c r="E1734" s="44" t="s">
        <v>3625</v>
      </c>
      <c r="G1734" t="str">
        <f t="shared" si="0"/>
        <v>ドライショートスリーブTシャツ</v>
      </c>
    </row>
    <row r="1735" spans="1:7" ht="15" customHeight="1" x14ac:dyDescent="0.2">
      <c r="A1735" s="27" t="s">
        <v>3630</v>
      </c>
      <c r="B1735" t="s">
        <v>3630</v>
      </c>
      <c r="C1735" s="76" t="s">
        <v>3636</v>
      </c>
      <c r="D1735" s="44" t="s">
        <v>3624</v>
      </c>
      <c r="E1735" s="44" t="s">
        <v>3625</v>
      </c>
      <c r="G1735" t="str">
        <f t="shared" si="0"/>
        <v>ドライロングスリーブTシャツ</v>
      </c>
    </row>
    <row r="1736" spans="1:7" ht="15" customHeight="1" x14ac:dyDescent="0.2">
      <c r="A1736" s="27" t="s">
        <v>3631</v>
      </c>
      <c r="B1736" t="s">
        <v>3631</v>
      </c>
      <c r="C1736" s="76" t="s">
        <v>3637</v>
      </c>
      <c r="D1736" s="44" t="s">
        <v>3624</v>
      </c>
      <c r="E1736" s="44" t="s">
        <v>3625</v>
      </c>
      <c r="G1736" t="str">
        <f t="shared" si="0"/>
        <v>ドライロングスリーブTシャツ</v>
      </c>
    </row>
    <row r="1737" spans="1:7" ht="15" customHeight="1" x14ac:dyDescent="0.2">
      <c r="A1737" s="27" t="s">
        <v>3632</v>
      </c>
      <c r="B1737" t="s">
        <v>3632</v>
      </c>
      <c r="C1737" s="76" t="s">
        <v>3638</v>
      </c>
      <c r="D1737" s="44" t="s">
        <v>3624</v>
      </c>
      <c r="E1737" s="44" t="s">
        <v>3625</v>
      </c>
      <c r="G1737" t="str">
        <f t="shared" si="0"/>
        <v>ドライロングスリーブTシャツ</v>
      </c>
    </row>
    <row r="1738" spans="1:7" ht="15" customHeight="1" x14ac:dyDescent="0.2">
      <c r="A1738" s="27" t="s">
        <v>3633</v>
      </c>
      <c r="B1738" t="s">
        <v>3633</v>
      </c>
      <c r="C1738" s="76" t="s">
        <v>3639</v>
      </c>
      <c r="D1738" s="44" t="s">
        <v>3624</v>
      </c>
      <c r="E1738" s="44" t="s">
        <v>3625</v>
      </c>
      <c r="G1738" t="str">
        <f t="shared" si="0"/>
        <v>ボタンダウンポロシャツ</v>
      </c>
    </row>
    <row r="1739" spans="1:7" ht="15" customHeight="1" x14ac:dyDescent="0.2">
      <c r="A1739" s="27" t="s">
        <v>3701</v>
      </c>
      <c r="B1739" t="s">
        <v>3702</v>
      </c>
      <c r="C1739" s="76" t="s">
        <v>3703</v>
      </c>
      <c r="D1739" s="44" t="s">
        <v>3624</v>
      </c>
      <c r="E1739" s="44" t="s">
        <v>3625</v>
      </c>
      <c r="G1739" t="str">
        <f t="shared" si="0"/>
        <v>ボタンダウンポロシャツ</v>
      </c>
    </row>
    <row r="1740" spans="1:7" ht="15" customHeight="1" x14ac:dyDescent="0.2">
      <c r="A1740" s="27" t="s">
        <v>3705</v>
      </c>
      <c r="B1740" t="s">
        <v>3705</v>
      </c>
      <c r="C1740" s="76" t="s">
        <v>3706</v>
      </c>
      <c r="D1740" s="44" t="s">
        <v>3624</v>
      </c>
      <c r="E1740" s="44" t="s">
        <v>3625</v>
      </c>
      <c r="G1740" t="str">
        <f t="shared" si="0"/>
        <v>ボタンダウンポロシャツ</v>
      </c>
    </row>
    <row r="1741" spans="1:7" ht="15" customHeight="1" x14ac:dyDescent="0.2">
      <c r="A1741" s="27">
        <v>880</v>
      </c>
      <c r="B1741">
        <v>880</v>
      </c>
      <c r="C1741" s="76" t="s">
        <v>3682</v>
      </c>
      <c r="D1741" s="44" t="s">
        <v>3681</v>
      </c>
      <c r="E1741" s="44" t="s">
        <v>3619</v>
      </c>
    </row>
    <row r="1742" spans="1:7" ht="15" customHeight="1" x14ac:dyDescent="0.2">
      <c r="A1742" s="27">
        <v>770</v>
      </c>
      <c r="B1742">
        <v>770</v>
      </c>
      <c r="C1742" s="76" t="s">
        <v>3683</v>
      </c>
      <c r="D1742" s="44" t="s">
        <v>3681</v>
      </c>
      <c r="E1742" s="44" t="s">
        <v>3619</v>
      </c>
    </row>
    <row r="1743" spans="1:7" ht="15" customHeight="1" x14ac:dyDescent="0.2">
      <c r="A1743" s="27">
        <v>42645</v>
      </c>
      <c r="B1743">
        <v>42645</v>
      </c>
      <c r="C1743" t="s">
        <v>1315</v>
      </c>
      <c r="D1743" t="s">
        <v>1822</v>
      </c>
      <c r="E1743" t="s">
        <v>1581</v>
      </c>
    </row>
    <row r="1744" spans="1:7" ht="15" customHeight="1" x14ac:dyDescent="0.2">
      <c r="A1744" s="27">
        <v>42744</v>
      </c>
      <c r="B1744">
        <v>42744</v>
      </c>
      <c r="C1744" t="s">
        <v>1316</v>
      </c>
      <c r="D1744" t="s">
        <v>1569</v>
      </c>
      <c r="E1744" t="s">
        <v>1581</v>
      </c>
    </row>
    <row r="1745" spans="1:5" ht="15" customHeight="1" x14ac:dyDescent="0.2">
      <c r="A1745" s="27">
        <v>43642</v>
      </c>
      <c r="B1745">
        <v>43642</v>
      </c>
      <c r="C1745" t="s">
        <v>1317</v>
      </c>
      <c r="D1745" t="s">
        <v>1569</v>
      </c>
      <c r="E1745" t="s">
        <v>1581</v>
      </c>
    </row>
    <row r="1746" spans="1:5" ht="15" customHeight="1" x14ac:dyDescent="0.2">
      <c r="A1746" s="27">
        <v>46346</v>
      </c>
      <c r="B1746">
        <v>46346</v>
      </c>
      <c r="C1746" t="s">
        <v>1318</v>
      </c>
      <c r="D1746" t="s">
        <v>1569</v>
      </c>
      <c r="E1746" t="s">
        <v>1581</v>
      </c>
    </row>
    <row r="1747" spans="1:5" ht="15" customHeight="1" x14ac:dyDescent="0.2">
      <c r="A1747" s="27">
        <v>46445</v>
      </c>
      <c r="B1747">
        <v>46445</v>
      </c>
      <c r="C1747" t="s">
        <v>1319</v>
      </c>
      <c r="D1747" t="s">
        <v>1569</v>
      </c>
      <c r="E1747" t="s">
        <v>1581</v>
      </c>
    </row>
    <row r="1748" spans="1:5" ht="15" customHeight="1" x14ac:dyDescent="0.2">
      <c r="A1748" s="27">
        <v>46544</v>
      </c>
      <c r="B1748">
        <v>46544</v>
      </c>
      <c r="C1748" t="s">
        <v>1320</v>
      </c>
      <c r="D1748" t="s">
        <v>1569</v>
      </c>
      <c r="E1748" t="s">
        <v>1581</v>
      </c>
    </row>
    <row r="1749" spans="1:5" s="39" customFormat="1" ht="15" customHeight="1" x14ac:dyDescent="0.2">
      <c r="A1749" s="27">
        <v>46643</v>
      </c>
      <c r="B1749">
        <v>46643</v>
      </c>
      <c r="C1749" t="s">
        <v>1321</v>
      </c>
      <c r="D1749" t="s">
        <v>1569</v>
      </c>
      <c r="E1749" t="s">
        <v>1581</v>
      </c>
    </row>
    <row r="1750" spans="1:5" ht="15" customHeight="1" x14ac:dyDescent="0.2">
      <c r="A1750" s="27">
        <v>50640</v>
      </c>
      <c r="B1750">
        <v>50640</v>
      </c>
      <c r="C1750" t="s">
        <v>1322</v>
      </c>
      <c r="D1750" t="s">
        <v>1569</v>
      </c>
      <c r="E1750" t="s">
        <v>1581</v>
      </c>
    </row>
    <row r="1751" spans="1:5" ht="15" customHeight="1" x14ac:dyDescent="0.2">
      <c r="A1751" s="27">
        <v>50749</v>
      </c>
      <c r="B1751">
        <v>50749</v>
      </c>
      <c r="C1751" t="s">
        <v>1323</v>
      </c>
      <c r="D1751" t="s">
        <v>1569</v>
      </c>
      <c r="E1751" t="s">
        <v>1581</v>
      </c>
    </row>
    <row r="1752" spans="1:5" ht="15" customHeight="1" x14ac:dyDescent="0.2">
      <c r="A1752" s="27" t="s">
        <v>1570</v>
      </c>
      <c r="B1752" t="s">
        <v>1570</v>
      </c>
      <c r="C1752" t="s">
        <v>1571</v>
      </c>
      <c r="D1752" t="s">
        <v>1569</v>
      </c>
      <c r="E1752" t="s">
        <v>1581</v>
      </c>
    </row>
    <row r="1753" spans="1:5" ht="15" customHeight="1" x14ac:dyDescent="0.2">
      <c r="A1753" s="38" t="s">
        <v>1570</v>
      </c>
      <c r="B1753" s="39" t="s">
        <v>1570</v>
      </c>
      <c r="C1753" s="39" t="s">
        <v>1571</v>
      </c>
      <c r="D1753" s="39" t="s">
        <v>1569</v>
      </c>
      <c r="E1753" s="39" t="s">
        <v>1581</v>
      </c>
    </row>
  </sheetData>
  <phoneticPr fontId="6"/>
  <pageMargins left="0.7" right="0.7" top="0.75" bottom="0.75" header="0.3" footer="0.3"/>
  <pageSetup paperSize="9"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tabColor theme="3" tint="0.59999389629810485"/>
  </sheetPr>
  <dimension ref="A1:AT197"/>
  <sheetViews>
    <sheetView topLeftCell="A49" zoomScale="85" zoomScaleNormal="85" workbookViewId="0">
      <selection activeCell="Q80" sqref="Q80"/>
    </sheetView>
  </sheetViews>
  <sheetFormatPr defaultRowHeight="15" customHeight="1" x14ac:dyDescent="0.2"/>
  <cols>
    <col min="1" max="1" width="19.88671875" customWidth="1"/>
    <col min="2" max="2" width="21.109375" customWidth="1"/>
    <col min="3" max="3" width="9.44140625" customWidth="1"/>
    <col min="5" max="5" width="4.33203125" customWidth="1"/>
    <col min="6" max="7" width="1.77734375" customWidth="1"/>
    <col min="8" max="8" width="2.44140625" customWidth="1"/>
    <col min="9" max="9" width="7.44140625" customWidth="1"/>
    <col min="10" max="10" width="2.44140625" customWidth="1"/>
    <col min="11" max="11" width="3.109375" customWidth="1"/>
    <col min="12" max="19" width="2.44140625" customWidth="1"/>
    <col min="20" max="22" width="2.6640625" customWidth="1"/>
    <col min="23" max="23" width="5.109375" customWidth="1"/>
    <col min="24" max="24" width="2.109375" customWidth="1"/>
    <col min="25" max="26" width="2.6640625" customWidth="1"/>
    <col min="27" max="27" width="5.44140625" customWidth="1"/>
    <col min="28" max="28" width="8" customWidth="1"/>
    <col min="30" max="33" width="2.6640625" customWidth="1"/>
  </cols>
  <sheetData>
    <row r="1" spans="1:3" ht="15" customHeight="1" x14ac:dyDescent="0.2">
      <c r="A1" s="2" t="s">
        <v>3494</v>
      </c>
      <c r="B1" s="2" t="s">
        <v>3567</v>
      </c>
      <c r="C1" s="2" t="s">
        <v>3495</v>
      </c>
    </row>
    <row r="2" spans="1:3" s="44" customFormat="1" ht="15" customHeight="1" x14ac:dyDescent="0.2">
      <c r="A2" s="44" t="s">
        <v>3466</v>
      </c>
      <c r="B2" s="44" t="s">
        <v>3467</v>
      </c>
      <c r="C2" s="44" t="s">
        <v>3496</v>
      </c>
    </row>
    <row r="3" spans="1:3" s="44" customFormat="1" ht="15" customHeight="1" x14ac:dyDescent="0.2">
      <c r="A3" s="44" t="s">
        <v>3474</v>
      </c>
      <c r="B3" s="44" t="s">
        <v>3467</v>
      </c>
      <c r="C3" s="44" t="s">
        <v>3496</v>
      </c>
    </row>
    <row r="4" spans="1:3" s="44" customFormat="1" ht="15" customHeight="1" x14ac:dyDescent="0.2">
      <c r="A4" s="44" t="s">
        <v>3468</v>
      </c>
      <c r="B4" s="44" t="s">
        <v>3469</v>
      </c>
      <c r="C4" s="44" t="s">
        <v>3516</v>
      </c>
    </row>
    <row r="5" spans="1:3" s="44" customFormat="1" ht="15" customHeight="1" x14ac:dyDescent="0.2">
      <c r="A5" s="44" t="s">
        <v>3470</v>
      </c>
      <c r="B5" s="44" t="s">
        <v>3470</v>
      </c>
      <c r="C5" s="44" t="s">
        <v>405</v>
      </c>
    </row>
    <row r="6" spans="1:3" s="44" customFormat="1" ht="15" customHeight="1" x14ac:dyDescent="0.2">
      <c r="A6" s="44" t="s">
        <v>3471</v>
      </c>
      <c r="B6" s="44" t="s">
        <v>3472</v>
      </c>
      <c r="C6" s="44" t="s">
        <v>3497</v>
      </c>
    </row>
    <row r="7" spans="1:3" s="44" customFormat="1" ht="15" customHeight="1" x14ac:dyDescent="0.2">
      <c r="A7" s="44" t="s">
        <v>3591</v>
      </c>
      <c r="B7" s="44" t="s">
        <v>3574</v>
      </c>
      <c r="C7" s="44" t="s">
        <v>1578</v>
      </c>
    </row>
    <row r="8" spans="1:3" s="44" customFormat="1" ht="15" customHeight="1" x14ac:dyDescent="0.2">
      <c r="A8" s="44" t="s">
        <v>3475</v>
      </c>
      <c r="B8" s="44" t="s">
        <v>3097</v>
      </c>
      <c r="C8" s="44" t="s">
        <v>1579</v>
      </c>
    </row>
    <row r="9" spans="1:3" s="44" customFormat="1" ht="15" customHeight="1" x14ac:dyDescent="0.2">
      <c r="A9" s="44" t="s">
        <v>842</v>
      </c>
      <c r="B9" s="44" t="s">
        <v>3477</v>
      </c>
      <c r="C9" s="44" t="s">
        <v>3498</v>
      </c>
    </row>
    <row r="10" spans="1:3" s="44" customFormat="1" ht="15" customHeight="1" x14ac:dyDescent="0.2">
      <c r="A10" s="44" t="s">
        <v>3478</v>
      </c>
      <c r="B10" s="44" t="s">
        <v>3479</v>
      </c>
      <c r="C10" s="44" t="s">
        <v>3499</v>
      </c>
    </row>
    <row r="11" spans="1:3" s="44" customFormat="1" ht="15" customHeight="1" x14ac:dyDescent="0.2">
      <c r="A11" s="44" t="s">
        <v>3480</v>
      </c>
      <c r="B11" s="44" t="s">
        <v>3480</v>
      </c>
      <c r="C11" s="44" t="s">
        <v>3501</v>
      </c>
    </row>
    <row r="12" spans="1:3" s="44" customFormat="1" ht="15" customHeight="1" x14ac:dyDescent="0.2">
      <c r="A12" s="44" t="s">
        <v>3481</v>
      </c>
      <c r="B12" s="44" t="s">
        <v>3482</v>
      </c>
      <c r="C12" s="44" t="s">
        <v>3502</v>
      </c>
    </row>
    <row r="13" spans="1:3" s="44" customFormat="1" ht="15" customHeight="1" x14ac:dyDescent="0.2">
      <c r="A13" s="44" t="s">
        <v>3483</v>
      </c>
      <c r="B13" s="44" t="s">
        <v>3483</v>
      </c>
      <c r="C13" s="44" t="s">
        <v>3500</v>
      </c>
    </row>
    <row r="14" spans="1:3" s="44" customFormat="1" ht="15" customHeight="1" x14ac:dyDescent="0.2">
      <c r="A14" s="44" t="s">
        <v>3484</v>
      </c>
      <c r="B14" s="44" t="s">
        <v>3484</v>
      </c>
      <c r="C14" s="44" t="s">
        <v>3503</v>
      </c>
    </row>
    <row r="15" spans="1:3" s="44" customFormat="1" ht="15" customHeight="1" x14ac:dyDescent="0.2">
      <c r="A15" s="44" t="s">
        <v>3485</v>
      </c>
      <c r="B15" s="44" t="s">
        <v>3485</v>
      </c>
      <c r="C15" s="44" t="s">
        <v>3504</v>
      </c>
    </row>
    <row r="16" spans="1:3" s="44" customFormat="1" ht="15" customHeight="1" x14ac:dyDescent="0.2">
      <c r="A16" s="44" t="s">
        <v>3486</v>
      </c>
      <c r="B16" s="44" t="s">
        <v>3487</v>
      </c>
      <c r="C16" s="44" t="s">
        <v>1405</v>
      </c>
    </row>
    <row r="17" spans="1:30" s="44" customFormat="1" ht="15" customHeight="1" x14ac:dyDescent="0.2">
      <c r="A17" s="44" t="s">
        <v>3488</v>
      </c>
      <c r="B17" s="44" t="s">
        <v>3488</v>
      </c>
      <c r="C17" s="44" t="s">
        <v>3505</v>
      </c>
    </row>
    <row r="18" spans="1:30" s="44" customFormat="1" ht="15" customHeight="1" x14ac:dyDescent="0.2">
      <c r="A18" s="44" t="s">
        <v>3484</v>
      </c>
      <c r="B18" s="44" t="s">
        <v>3484</v>
      </c>
      <c r="C18" s="44" t="s">
        <v>3506</v>
      </c>
    </row>
    <row r="19" spans="1:30" s="44" customFormat="1" ht="15" customHeight="1" x14ac:dyDescent="0.2">
      <c r="A19" s="44" t="s">
        <v>3489</v>
      </c>
      <c r="B19" s="44" t="s">
        <v>3490</v>
      </c>
      <c r="C19" s="44" t="s">
        <v>3507</v>
      </c>
    </row>
    <row r="20" spans="1:30" s="44" customFormat="1" ht="15" customHeight="1" x14ac:dyDescent="0.2">
      <c r="A20" s="44" t="s">
        <v>3491</v>
      </c>
      <c r="B20" s="44" t="s">
        <v>3491</v>
      </c>
      <c r="C20" s="44" t="s">
        <v>3508</v>
      </c>
    </row>
    <row r="21" spans="1:30" s="44" customFormat="1" ht="15" customHeight="1" x14ac:dyDescent="0.2">
      <c r="A21" s="44" t="s">
        <v>3492</v>
      </c>
      <c r="B21" s="44" t="s">
        <v>3493</v>
      </c>
      <c r="C21" s="44" t="s">
        <v>3509</v>
      </c>
    </row>
    <row r="22" spans="1:30" s="44" customFormat="1" ht="15" customHeight="1" x14ac:dyDescent="0.2">
      <c r="A22" s="44" t="s">
        <v>3420</v>
      </c>
      <c r="B22" s="44" t="s">
        <v>3462</v>
      </c>
      <c r="C22" s="44" t="s">
        <v>3510</v>
      </c>
    </row>
    <row r="23" spans="1:30" s="44" customFormat="1" ht="15" customHeight="1" x14ac:dyDescent="0.2">
      <c r="A23" s="44" t="s">
        <v>3433</v>
      </c>
      <c r="B23" s="44" t="s">
        <v>3463</v>
      </c>
      <c r="C23" s="44" t="s">
        <v>3511</v>
      </c>
    </row>
    <row r="24" spans="1:30" s="44" customFormat="1" ht="15" customHeight="1" x14ac:dyDescent="0.2">
      <c r="A24" s="44" t="s">
        <v>3404</v>
      </c>
      <c r="B24" s="44" t="s">
        <v>3404</v>
      </c>
      <c r="C24" s="44" t="s">
        <v>3512</v>
      </c>
    </row>
    <row r="25" spans="1:30" s="44" customFormat="1" ht="15" customHeight="1" x14ac:dyDescent="0.2">
      <c r="A25" s="44" t="s">
        <v>3415</v>
      </c>
      <c r="B25" s="44" t="s">
        <v>3415</v>
      </c>
      <c r="C25" s="44" t="s">
        <v>3513</v>
      </c>
    </row>
    <row r="26" spans="1:30" s="44" customFormat="1" ht="15" customHeight="1" x14ac:dyDescent="0.2">
      <c r="A26" t="s">
        <v>1158</v>
      </c>
      <c r="B26" t="s">
        <v>1158</v>
      </c>
      <c r="C26" s="44" t="s">
        <v>1577</v>
      </c>
      <c r="AD26" s="44" t="s">
        <v>1580</v>
      </c>
    </row>
    <row r="27" spans="1:30" s="44" customFormat="1" ht="15" customHeight="1" x14ac:dyDescent="0.2">
      <c r="A27" t="s">
        <v>1569</v>
      </c>
      <c r="B27" t="s">
        <v>1581</v>
      </c>
      <c r="C27" s="44" t="s">
        <v>1582</v>
      </c>
    </row>
    <row r="28" spans="1:30" s="44" customFormat="1" ht="15" customHeight="1" x14ac:dyDescent="0.2">
      <c r="A28" s="44" t="s">
        <v>2405</v>
      </c>
      <c r="B28" s="44" t="s">
        <v>2675</v>
      </c>
      <c r="C28" s="44" t="s">
        <v>2674</v>
      </c>
    </row>
    <row r="29" spans="1:30" s="44" customFormat="1" ht="15" customHeight="1" x14ac:dyDescent="0.2">
      <c r="A29" s="44" t="s">
        <v>743</v>
      </c>
      <c r="B29" s="44" t="s">
        <v>744</v>
      </c>
      <c r="C29" s="44" t="s">
        <v>753</v>
      </c>
      <c r="AC29" s="44" t="s">
        <v>799</v>
      </c>
    </row>
    <row r="30" spans="1:30" s="44" customFormat="1" ht="15" customHeight="1" x14ac:dyDescent="0.2">
      <c r="A30" s="44" t="s">
        <v>755</v>
      </c>
      <c r="B30" s="44" t="s">
        <v>754</v>
      </c>
      <c r="C30" s="44" t="s">
        <v>756</v>
      </c>
    </row>
    <row r="31" spans="1:30" s="44" customFormat="1" ht="15" customHeight="1" x14ac:dyDescent="0.2">
      <c r="A31" s="44" t="s">
        <v>1420</v>
      </c>
      <c r="B31" s="44" t="s">
        <v>1439</v>
      </c>
      <c r="C31" s="44" t="s">
        <v>1440</v>
      </c>
    </row>
    <row r="32" spans="1:30" s="44" customFormat="1" ht="15" customHeight="1" x14ac:dyDescent="0.2">
      <c r="A32" s="44" t="s">
        <v>1429</v>
      </c>
      <c r="B32" s="44" t="s">
        <v>1437</v>
      </c>
      <c r="C32" s="44" t="s">
        <v>1441</v>
      </c>
    </row>
    <row r="33" spans="1:4" s="44" customFormat="1" ht="15" customHeight="1" x14ac:dyDescent="0.2">
      <c r="A33" s="44" t="s">
        <v>836</v>
      </c>
      <c r="B33" s="44" t="s">
        <v>924</v>
      </c>
    </row>
    <row r="34" spans="1:4" s="44" customFormat="1" ht="15" customHeight="1" x14ac:dyDescent="0.2">
      <c r="A34" s="44" t="s">
        <v>917</v>
      </c>
      <c r="B34" s="44" t="s">
        <v>917</v>
      </c>
      <c r="C34" s="44" t="s">
        <v>3051</v>
      </c>
    </row>
    <row r="35" spans="1:4" s="44" customFormat="1" ht="15" customHeight="1" x14ac:dyDescent="0.2">
      <c r="A35" s="44" t="s">
        <v>2339</v>
      </c>
      <c r="B35" s="44" t="s">
        <v>2338</v>
      </c>
      <c r="C35" s="44" t="s">
        <v>2351</v>
      </c>
    </row>
    <row r="36" spans="1:4" s="44" customFormat="1" ht="15" customHeight="1" x14ac:dyDescent="0.2">
      <c r="A36" s="44" t="s">
        <v>2340</v>
      </c>
      <c r="B36" s="44" t="s">
        <v>2341</v>
      </c>
      <c r="C36" s="44" t="s">
        <v>2350</v>
      </c>
    </row>
    <row r="37" spans="1:4" s="44" customFormat="1" ht="15" customHeight="1" x14ac:dyDescent="0.2">
      <c r="A37" s="44" t="s">
        <v>2342</v>
      </c>
      <c r="B37" s="44" t="s">
        <v>2343</v>
      </c>
      <c r="C37" s="44" t="s">
        <v>2352</v>
      </c>
    </row>
    <row r="38" spans="1:4" s="44" customFormat="1" ht="15" customHeight="1" x14ac:dyDescent="0.2">
      <c r="A38" s="44" t="s">
        <v>2894</v>
      </c>
      <c r="B38" s="44" t="s">
        <v>2973</v>
      </c>
      <c r="C38" s="44" t="s">
        <v>2974</v>
      </c>
    </row>
    <row r="39" spans="1:4" s="44" customFormat="1" ht="15" customHeight="1" x14ac:dyDescent="0.2">
      <c r="A39" s="44" t="s">
        <v>3620</v>
      </c>
      <c r="B39" s="44" t="s">
        <v>3619</v>
      </c>
      <c r="C39" s="44" t="s">
        <v>3621</v>
      </c>
    </row>
    <row r="40" spans="1:4" s="44" customFormat="1" ht="15" customHeight="1" x14ac:dyDescent="0.2">
      <c r="A40" s="44" t="s">
        <v>3624</v>
      </c>
      <c r="B40" s="44" t="s">
        <v>3625</v>
      </c>
      <c r="C40" s="44" t="s">
        <v>3626</v>
      </c>
    </row>
    <row r="41" spans="1:4" s="44" customFormat="1" ht="15" customHeight="1" x14ac:dyDescent="0.2">
      <c r="A41" s="44" t="s">
        <v>3459</v>
      </c>
      <c r="B41" s="44" t="s">
        <v>3515</v>
      </c>
      <c r="C41" s="44" t="s">
        <v>3514</v>
      </c>
    </row>
    <row r="45" spans="1:4" ht="15" customHeight="1" x14ac:dyDescent="0.2">
      <c r="A45" s="2" t="s">
        <v>3494</v>
      </c>
      <c r="B45" s="2" t="s">
        <v>379</v>
      </c>
      <c r="C45" s="2" t="s">
        <v>3540</v>
      </c>
      <c r="D45" s="2" t="s">
        <v>3568</v>
      </c>
    </row>
    <row r="46" spans="1:4" s="44" customFormat="1" ht="15" customHeight="1" x14ac:dyDescent="0.2">
      <c r="A46" s="44" t="s">
        <v>375</v>
      </c>
      <c r="B46" s="44" t="s">
        <v>375</v>
      </c>
      <c r="C46" s="44" t="s">
        <v>3528</v>
      </c>
      <c r="D46" s="44" t="s">
        <v>3541</v>
      </c>
    </row>
    <row r="47" spans="1:4" s="44" customFormat="1" ht="15" customHeight="1" x14ac:dyDescent="0.2">
      <c r="A47" s="44" t="s">
        <v>837</v>
      </c>
      <c r="B47" s="44" t="s">
        <v>726</v>
      </c>
      <c r="C47" s="44" t="s">
        <v>724</v>
      </c>
      <c r="D47" s="44" t="s">
        <v>729</v>
      </c>
    </row>
    <row r="48" spans="1:4" s="44" customFormat="1" ht="15" customHeight="1" x14ac:dyDescent="0.2">
      <c r="A48" s="44" t="s">
        <v>886</v>
      </c>
      <c r="B48" s="44" t="s">
        <v>3521</v>
      </c>
      <c r="C48" s="44" t="s">
        <v>3529</v>
      </c>
      <c r="D48" s="44" t="s">
        <v>3542</v>
      </c>
    </row>
    <row r="49" spans="1:5" s="44" customFormat="1" ht="15" customHeight="1" x14ac:dyDescent="0.2">
      <c r="A49" s="44" t="s">
        <v>1848</v>
      </c>
      <c r="B49" s="44" t="s">
        <v>3522</v>
      </c>
      <c r="C49" s="44" t="s">
        <v>3530</v>
      </c>
      <c r="D49" s="44" t="s">
        <v>3543</v>
      </c>
    </row>
    <row r="50" spans="1:5" s="44" customFormat="1" ht="15" customHeight="1" x14ac:dyDescent="0.2">
      <c r="A50" s="44" t="s">
        <v>836</v>
      </c>
      <c r="B50" s="44" t="s">
        <v>836</v>
      </c>
      <c r="C50" s="44" t="s">
        <v>3531</v>
      </c>
      <c r="D50" s="44" t="s">
        <v>3544</v>
      </c>
    </row>
    <row r="51" spans="1:5" s="44" customFormat="1" ht="15" customHeight="1" x14ac:dyDescent="0.2">
      <c r="A51" s="44" t="s">
        <v>3517</v>
      </c>
      <c r="B51" s="44" t="s">
        <v>3517</v>
      </c>
      <c r="C51" s="44" t="s">
        <v>3532</v>
      </c>
      <c r="D51" s="44" t="s">
        <v>3545</v>
      </c>
    </row>
    <row r="52" spans="1:5" s="44" customFormat="1" ht="15" customHeight="1" x14ac:dyDescent="0.2">
      <c r="A52" s="44" t="s">
        <v>3524</v>
      </c>
      <c r="B52" s="44" t="s">
        <v>3524</v>
      </c>
      <c r="C52" s="44" t="s">
        <v>3533</v>
      </c>
      <c r="D52" s="44" t="s">
        <v>3546</v>
      </c>
    </row>
    <row r="53" spans="1:5" s="44" customFormat="1" ht="15" customHeight="1" x14ac:dyDescent="0.2">
      <c r="A53" s="44" t="s">
        <v>3525</v>
      </c>
      <c r="B53" s="44" t="s">
        <v>3525</v>
      </c>
      <c r="C53" s="44" t="s">
        <v>3534</v>
      </c>
      <c r="D53" s="44" t="s">
        <v>3547</v>
      </c>
    </row>
    <row r="54" spans="1:5" s="44" customFormat="1" ht="15" customHeight="1" x14ac:dyDescent="0.2">
      <c r="A54" s="44" t="s">
        <v>3518</v>
      </c>
      <c r="B54" s="44" t="s">
        <v>3518</v>
      </c>
      <c r="C54" s="44" t="s">
        <v>3535</v>
      </c>
      <c r="D54" s="44" t="s">
        <v>3548</v>
      </c>
    </row>
    <row r="55" spans="1:5" s="44" customFormat="1" ht="15" customHeight="1" x14ac:dyDescent="0.2">
      <c r="A55" s="44" t="s">
        <v>3526</v>
      </c>
      <c r="B55" s="44" t="s">
        <v>727</v>
      </c>
      <c r="C55" s="44" t="s">
        <v>723</v>
      </c>
      <c r="D55" s="44" t="s">
        <v>3549</v>
      </c>
    </row>
    <row r="56" spans="1:5" s="44" customFormat="1" ht="15" customHeight="1" x14ac:dyDescent="0.2">
      <c r="A56" s="44" t="s">
        <v>3527</v>
      </c>
      <c r="B56" s="44" t="s">
        <v>3527</v>
      </c>
      <c r="C56" s="44" t="s">
        <v>3536</v>
      </c>
      <c r="D56" s="44" t="s">
        <v>3550</v>
      </c>
    </row>
    <row r="57" spans="1:5" s="44" customFormat="1" ht="15" customHeight="1" x14ac:dyDescent="0.2">
      <c r="A57" s="44" t="s">
        <v>3519</v>
      </c>
      <c r="B57" s="44" t="s">
        <v>3519</v>
      </c>
      <c r="C57" s="44" t="s">
        <v>3537</v>
      </c>
      <c r="D57" s="44" t="s">
        <v>3551</v>
      </c>
    </row>
    <row r="58" spans="1:5" s="44" customFormat="1" ht="15" customHeight="1" x14ac:dyDescent="0.2">
      <c r="A58" s="44" t="s">
        <v>3564</v>
      </c>
      <c r="B58" s="44" t="s">
        <v>3564</v>
      </c>
      <c r="C58" s="44" t="s">
        <v>3538</v>
      </c>
      <c r="D58" s="44" t="s">
        <v>3552</v>
      </c>
    </row>
    <row r="59" spans="1:5" s="44" customFormat="1" ht="15" customHeight="1" x14ac:dyDescent="0.2">
      <c r="A59" s="44" t="s">
        <v>3587</v>
      </c>
      <c r="B59" s="44" t="s">
        <v>3587</v>
      </c>
      <c r="C59" s="44" t="s">
        <v>3539</v>
      </c>
      <c r="D59" s="44" t="s">
        <v>3553</v>
      </c>
    </row>
    <row r="60" spans="1:5" s="44" customFormat="1" ht="15" customHeight="1" x14ac:dyDescent="0.2">
      <c r="A60" s="44" t="s">
        <v>58</v>
      </c>
      <c r="B60" s="44" t="s">
        <v>57</v>
      </c>
      <c r="C60" s="44" t="s">
        <v>61</v>
      </c>
      <c r="D60" s="44" t="s">
        <v>3555</v>
      </c>
      <c r="E60" s="44" t="s">
        <v>3556</v>
      </c>
    </row>
    <row r="61" spans="1:5" s="44" customFormat="1" ht="15" customHeight="1" x14ac:dyDescent="0.2">
      <c r="A61" s="52" t="s">
        <v>62</v>
      </c>
      <c r="B61" s="52" t="s">
        <v>60</v>
      </c>
      <c r="C61" s="52" t="s">
        <v>3123</v>
      </c>
      <c r="D61" s="52" t="s">
        <v>3126</v>
      </c>
      <c r="E61" s="44" t="s">
        <v>3124</v>
      </c>
    </row>
    <row r="62" spans="1:5" s="44" customFormat="1" ht="15" customHeight="1" x14ac:dyDescent="0.2">
      <c r="A62" s="44" t="s">
        <v>3554</v>
      </c>
      <c r="B62" s="44" t="s">
        <v>3554</v>
      </c>
      <c r="C62" s="44" t="s">
        <v>3561</v>
      </c>
      <c r="D62" s="44" t="s">
        <v>3558</v>
      </c>
    </row>
    <row r="63" spans="1:5" s="44" customFormat="1" ht="15" customHeight="1" x14ac:dyDescent="0.2">
      <c r="A63" s="44" t="s">
        <v>3566</v>
      </c>
      <c r="B63" s="44" t="s">
        <v>3566</v>
      </c>
      <c r="C63" s="44" t="s">
        <v>3560</v>
      </c>
      <c r="D63" s="44" t="s">
        <v>3559</v>
      </c>
    </row>
    <row r="64" spans="1:5" s="44" customFormat="1" ht="15" customHeight="1" x14ac:dyDescent="0.2">
      <c r="A64" s="44" t="s">
        <v>1823</v>
      </c>
      <c r="B64" s="44" t="s">
        <v>1825</v>
      </c>
      <c r="C64" s="44" t="s">
        <v>1826</v>
      </c>
      <c r="D64" s="44" t="s">
        <v>1827</v>
      </c>
    </row>
    <row r="65" spans="1:27" s="44" customFormat="1" ht="15" customHeight="1" x14ac:dyDescent="0.2">
      <c r="A65" s="44" t="s">
        <v>3565</v>
      </c>
      <c r="B65" s="44" t="s">
        <v>3565</v>
      </c>
      <c r="C65" s="44" t="s">
        <v>3563</v>
      </c>
      <c r="D65" s="44" t="s">
        <v>3562</v>
      </c>
    </row>
    <row r="67" spans="1:27" ht="15" customHeight="1" x14ac:dyDescent="0.2">
      <c r="A67" s="41" t="s">
        <v>1573</v>
      </c>
      <c r="B67" s="41"/>
      <c r="C67" s="41"/>
      <c r="D67" s="41"/>
      <c r="E67" s="41"/>
      <c r="K67" s="41" t="s">
        <v>34</v>
      </c>
      <c r="L67" s="41"/>
      <c r="M67" s="41"/>
      <c r="N67" s="41"/>
      <c r="O67" s="41"/>
      <c r="P67" s="41"/>
      <c r="Q67" s="41"/>
      <c r="T67" s="41" t="s">
        <v>34</v>
      </c>
      <c r="U67" s="41"/>
      <c r="V67" s="41"/>
      <c r="W67" s="41"/>
      <c r="X67" s="41"/>
      <c r="Y67" s="41"/>
    </row>
    <row r="68" spans="1:27" ht="15" customHeight="1" x14ac:dyDescent="0.2">
      <c r="A68" t="s">
        <v>358</v>
      </c>
      <c r="B68" t="e">
        <f>LEFT(C68,FIND("より",C68)-1)</f>
        <v>#REF!</v>
      </c>
      <c r="C68" t="e">
        <f>MID(#REF!,FIND("御中 ",#REF!)+3,LEN(#REF!))</f>
        <v>#REF!</v>
      </c>
      <c r="K68" t="str">
        <f>'無地（自由）'!C1</f>
        <v>(株)ゲイト</v>
      </c>
      <c r="T68" t="str">
        <f>'営業（自由入力）'!C1</f>
        <v>トムスCC</v>
      </c>
    </row>
    <row r="69" spans="1:27" ht="15" customHeight="1" x14ac:dyDescent="0.2">
      <c r="A69" t="s">
        <v>361</v>
      </c>
      <c r="B69" t="e">
        <f>VLOOKUP(B68,A2:C41,2,FALSE)</f>
        <v>#REF!</v>
      </c>
    </row>
    <row r="70" spans="1:27" ht="15" customHeight="1" x14ac:dyDescent="0.2">
      <c r="A70" t="s">
        <v>360</v>
      </c>
      <c r="B70" t="e">
        <f>VLOOKUP($B$68,A2:C41,3,FALSE)</f>
        <v>#REF!</v>
      </c>
      <c r="K70">
        <f>VLOOKUP(K68,B2:C41,2,FALSE)</f>
        <v>0</v>
      </c>
      <c r="T70" t="str">
        <f>VLOOKUP(T68,B2:C41,2,FALSE)</f>
        <v>※基本1週間キープ  ※14:00までのFAX（0120-32-1064）発注→当日出荷、翌日着。（土曜日も同様）</v>
      </c>
    </row>
    <row r="71" spans="1:27" ht="15" customHeight="1" x14ac:dyDescent="0.2">
      <c r="A71" t="s">
        <v>359</v>
      </c>
      <c r="B71" t="str">
        <f>MID(旧貼付用!A4,FIND("：",旧貼付用!A4)+1,LEN(旧貼付用!A4))</f>
        <v>●●</v>
      </c>
    </row>
    <row r="72" spans="1:27" ht="15" customHeight="1" x14ac:dyDescent="0.2">
      <c r="A72" t="s">
        <v>362</v>
      </c>
      <c r="B72" t="e">
        <f>LEFT(#REF!,FIND("御中",#REF!)-1)</f>
        <v>#REF!</v>
      </c>
    </row>
    <row r="73" spans="1:27" ht="15" customHeight="1" x14ac:dyDescent="0.2">
      <c r="A73" t="s">
        <v>363</v>
      </c>
      <c r="B73" t="e">
        <f>VLOOKUP($B$72,A46:D65,3,FALSE)</f>
        <v>#REF!</v>
      </c>
      <c r="K73" s="41" t="s">
        <v>736</v>
      </c>
      <c r="L73" s="41"/>
      <c r="M73" s="41"/>
      <c r="N73" s="41"/>
      <c r="O73" s="41"/>
      <c r="P73" s="41"/>
      <c r="Q73" s="41"/>
    </row>
    <row r="74" spans="1:27" ht="15" customHeight="1" x14ac:dyDescent="0.2">
      <c r="A74" t="s">
        <v>364</v>
      </c>
      <c r="B74" t="e">
        <f>VLOOKUP($B$72,A46:D65,4,FALSE)</f>
        <v>#REF!</v>
      </c>
      <c r="K74" t="s">
        <v>739</v>
      </c>
    </row>
    <row r="75" spans="1:27" ht="15" customHeight="1" x14ac:dyDescent="0.2">
      <c r="A75" t="s">
        <v>365</v>
      </c>
      <c r="B75" t="e">
        <f>#REF!</f>
        <v>#REF!</v>
      </c>
      <c r="K75" t="s">
        <v>737</v>
      </c>
    </row>
    <row r="76" spans="1:27" ht="15" customHeight="1" x14ac:dyDescent="0.2">
      <c r="C76" s="26"/>
    </row>
    <row r="77" spans="1:27" ht="15" customHeight="1" x14ac:dyDescent="0.2">
      <c r="A77" t="s">
        <v>366</v>
      </c>
      <c r="B77" s="1">
        <f>IF(旧貼付用!B21="",1,2)</f>
        <v>1</v>
      </c>
      <c r="C77" s="27" t="s">
        <v>367</v>
      </c>
    </row>
    <row r="78" spans="1:27" ht="15" customHeight="1" x14ac:dyDescent="0.2">
      <c r="A78" t="s">
        <v>383</v>
      </c>
      <c r="B78" s="1">
        <f>IF(旧貼付用!B26="",1,2)</f>
        <v>1</v>
      </c>
      <c r="C78" s="27" t="s">
        <v>367</v>
      </c>
      <c r="K78" t="s">
        <v>3773</v>
      </c>
      <c r="Q78" t="e">
        <f>LEFT(AA78,FIND(" ",AA78)-1)</f>
        <v>#REF!</v>
      </c>
      <c r="AA78" t="e">
        <f>MID(#REF!,FIND("：",#REF!)+1,LEN(#REF!))</f>
        <v>#REF!</v>
      </c>
    </row>
    <row r="79" spans="1:27" ht="15" customHeight="1" x14ac:dyDescent="0.2">
      <c r="B79" s="1"/>
      <c r="C79" s="27"/>
      <c r="K79" t="s">
        <v>3773</v>
      </c>
      <c r="Q79" t="e">
        <f>LEFT(AA80,FIND(" ",AA80)-1)</f>
        <v>#REF!</v>
      </c>
      <c r="AA79" t="e">
        <f>MID(#REF!,FIND("：",#REF!)+1,LEN(#REF!))</f>
        <v>#REF!</v>
      </c>
    </row>
    <row r="80" spans="1:27" ht="15" customHeight="1" x14ac:dyDescent="0.2">
      <c r="A80" t="s">
        <v>372</v>
      </c>
      <c r="B80" s="27" t="s">
        <v>373</v>
      </c>
      <c r="C80" s="27" t="e">
        <f>VLOOKUP(B72,A46:D65,2,FALSE)</f>
        <v>#REF!</v>
      </c>
      <c r="AA80" t="e">
        <f>MID(AA79,FIND("担当（",AA79)+3,LEN(AA79))</f>
        <v>#REF!</v>
      </c>
    </row>
    <row r="81" spans="1:11" ht="15" customHeight="1" x14ac:dyDescent="0.2">
      <c r="B81" s="27" t="s">
        <v>374</v>
      </c>
      <c r="C81" s="27" t="s">
        <v>376</v>
      </c>
    </row>
    <row r="82" spans="1:11" ht="15" customHeight="1" x14ac:dyDescent="0.2">
      <c r="A82" s="27" t="s">
        <v>382</v>
      </c>
      <c r="B82" s="1" t="e">
        <f>IF(#REF!=C81,B72,"")</f>
        <v>#REF!</v>
      </c>
      <c r="C82" s="27"/>
    </row>
    <row r="84" spans="1:11" ht="15" customHeight="1" x14ac:dyDescent="0.2">
      <c r="A84" s="41" t="s">
        <v>1572</v>
      </c>
      <c r="B84" s="42"/>
      <c r="C84" s="43"/>
      <c r="D84" s="41"/>
      <c r="E84" s="41"/>
    </row>
    <row r="85" spans="1:11" ht="15" customHeight="1" x14ac:dyDescent="0.2">
      <c r="A85" t="s">
        <v>387</v>
      </c>
      <c r="B85" t="s">
        <v>388</v>
      </c>
    </row>
    <row r="86" spans="1:11" ht="15" customHeight="1" x14ac:dyDescent="0.2">
      <c r="B86" t="s">
        <v>403</v>
      </c>
    </row>
    <row r="88" spans="1:11" ht="15" customHeight="1" x14ac:dyDescent="0.2">
      <c r="A88" t="str">
        <f>営業!AC13</f>
        <v>シルク</v>
      </c>
      <c r="B88" t="str">
        <f>HLOOKUP($A$88,$A$98:$D$107,2,FALSE)</f>
        <v xml:space="preserve"> □プロテックス・アパレル(株)</v>
      </c>
      <c r="C88" t="str">
        <f>IF($A$88=$B$85,B99,E99)</f>
        <v xml:space="preserve"> 〒838-0226  福岡県朝倉郡筑前町中牟田1175-1</v>
      </c>
      <c r="D88" t="str">
        <f>IF($A$88=$B$85,C99,F99)</f>
        <v>0946-42-8777</v>
      </c>
      <c r="H88" t="str">
        <f>'営業（自由入力）'!AC13</f>
        <v>その他加工</v>
      </c>
      <c r="I88" t="str">
        <f>HLOOKUP($H$88,$A$98:$D$107,2,FALSE)</f>
        <v xml:space="preserve"> □ライブカラー(株)</v>
      </c>
      <c r="J88" t="str">
        <f>IF($H$88=$B$85,B99,E99)</f>
        <v xml:space="preserve"> 〒761-8058　香川県高松市勅使町597-1 グローバル高松1F</v>
      </c>
      <c r="K88" t="str">
        <f>IF($H$88=$B$85,C99,F99)</f>
        <v>087-816-8151</v>
      </c>
    </row>
    <row r="89" spans="1:11" ht="15" customHeight="1" x14ac:dyDescent="0.2">
      <c r="B89" t="str">
        <f>HLOOKUP($A$88,$A$98:$D$107,3,FALSE)</f>
        <v xml:space="preserve"> □エースプリント(株)</v>
      </c>
      <c r="C89" t="str">
        <f t="shared" ref="C89:D95" si="0">IF($A$88=$B$85,B100,E100)</f>
        <v xml:space="preserve"> 〒590-0505  大阪府泉南市信達大苗代754-1</v>
      </c>
      <c r="D89" t="str">
        <f t="shared" si="0"/>
        <v>0724-85-1002</v>
      </c>
      <c r="I89" t="str">
        <f>HLOOKUP($H$88,$A$98:$D$107,3,FALSE)</f>
        <v xml:space="preserve"> □(株)テルミ・エンタープライズ</v>
      </c>
      <c r="J89" t="str">
        <f>IF($H$88=$B$85,B100,E100)</f>
        <v xml:space="preserve"> 〒761-0701  香川県木田郡三木町池戸800-2</v>
      </c>
      <c r="K89" t="str">
        <f t="shared" ref="K89:K96" si="1">IF($H$88=$B$85,C100,F100)</f>
        <v>087-840-2055</v>
      </c>
    </row>
    <row r="90" spans="1:11" ht="15" customHeight="1" x14ac:dyDescent="0.2">
      <c r="B90" t="str">
        <f>HLOOKUP($A$88,$A$98:$D$107,4,FALSE)</f>
        <v xml:space="preserve"> □(株)ゲイト</v>
      </c>
      <c r="C90" t="str">
        <f t="shared" si="0"/>
        <v xml:space="preserve"> 〒598-0021  大阪府泉佐野市日根野2577-1</v>
      </c>
      <c r="D90" t="str">
        <f t="shared" si="0"/>
        <v>072-496-8505</v>
      </c>
      <c r="I90" t="str">
        <f>HLOOKUP($H$88,$A$98:$D$107,4,FALSE)</f>
        <v xml:space="preserve"> □(株)尾崎スクリーン</v>
      </c>
      <c r="J90" t="str">
        <f t="shared" ref="J90:J96" si="2">IF($H$88=$B$85,B101,E101)</f>
        <v xml:space="preserve"> 〒762-0003  香川県坂出市久米町1-14-14-3F</v>
      </c>
      <c r="K90" t="str">
        <f t="shared" si="1"/>
        <v>0877-59-0308</v>
      </c>
    </row>
    <row r="91" spans="1:11" ht="15" customHeight="1" x14ac:dyDescent="0.2">
      <c r="B91" t="str">
        <f>HLOOKUP($A$88,$A$98:$D$107,5,FALSE)</f>
        <v xml:space="preserve"> □(株)モリ・フロッキー</v>
      </c>
      <c r="C91" t="str">
        <f t="shared" si="0"/>
        <v xml:space="preserve"> 〒711-0906  岡山県倉敷市児島下ノ町9-13-24</v>
      </c>
      <c r="D91" t="str">
        <f t="shared" si="0"/>
        <v>086-474-3430</v>
      </c>
      <c r="I91" t="str">
        <f>HLOOKUP($H$88,$A$98:$D$107,5,FALSE)</f>
        <v xml:space="preserve"> □(株)トランスアート</v>
      </c>
      <c r="J91" t="str">
        <f t="shared" si="2"/>
        <v> 〒601-8363  京都府京都市南区吉祥院嶋野間詰町26-2</v>
      </c>
      <c r="K91" t="str">
        <f t="shared" si="1"/>
        <v>075-661-2181</v>
      </c>
    </row>
    <row r="92" spans="1:11" ht="15" customHeight="1" x14ac:dyDescent="0.2">
      <c r="B92" t="str">
        <f>HLOOKUP($A$88,$A$98:$D$107,6,FALSE)</f>
        <v xml:space="preserve"> □ライブカラー(株)</v>
      </c>
      <c r="C92" t="str">
        <f t="shared" si="0"/>
        <v xml:space="preserve"> 〒761-8058　香川県高松市勅使町597-1 グローバル高松1F</v>
      </c>
      <c r="D92" t="str">
        <f t="shared" si="0"/>
        <v>087-816-8151</v>
      </c>
      <c r="I92" t="str">
        <f>HLOOKUP($H$88,$A$98:$D$107,6,FALSE)</f>
        <v xml:space="preserve"> □(有)ツチヤワークス</v>
      </c>
      <c r="J92" t="str">
        <f t="shared" si="2"/>
        <v xml:space="preserve"> 〒760-0061　香川県高松市築地町3-8</v>
      </c>
      <c r="K92" t="str">
        <f t="shared" si="1"/>
        <v>087-823-0670</v>
      </c>
    </row>
    <row r="93" spans="1:11" ht="15" customHeight="1" x14ac:dyDescent="0.2">
      <c r="B93" t="str">
        <f>HLOOKUP($A$88,$A$98:$D$107,7,FALSE)</f>
        <v xml:space="preserve"> □(株)トミーズコーポレーション</v>
      </c>
      <c r="C93" t="str">
        <f t="shared" si="0"/>
        <v xml:space="preserve"> 〒595-0026  大阪府泉大津市東雲町11-10</v>
      </c>
      <c r="D93" t="str">
        <f t="shared" si="0"/>
        <v>0725-23-9000</v>
      </c>
      <c r="I93" t="str">
        <f>HLOOKUP($H$88,$A$98:$D$107,7,FALSE)</f>
        <v xml:space="preserve"> □プロテックス・アパレル(株)</v>
      </c>
      <c r="J93" t="str">
        <f t="shared" si="2"/>
        <v xml:space="preserve"> 〒838-0226  福岡県朝倉郡筑前町中牟田1175-1</v>
      </c>
      <c r="K93" t="str">
        <f t="shared" si="1"/>
        <v>0946-42-8777</v>
      </c>
    </row>
    <row r="94" spans="1:11" ht="15" customHeight="1" x14ac:dyDescent="0.2">
      <c r="B94" t="str">
        <f>HLOOKUP($A$88,$A$98:$D$107,8,FALSE)</f>
        <v xml:space="preserve"> □(有)東伸</v>
      </c>
      <c r="C94" t="str">
        <f t="shared" si="0"/>
        <v xml:space="preserve"> 〒799-1351  愛媛県西条市三津屋236-1</v>
      </c>
      <c r="D94" t="str">
        <f t="shared" si="0"/>
        <v>0898-64-0170</v>
      </c>
      <c r="I94" t="str">
        <f>HLOOKUP($H$88,$A$98:$D$107,8,FALSE)</f>
        <v xml:space="preserve"> □(株)ジャスト</v>
      </c>
      <c r="J94" t="str">
        <f>IF($H$88=$B$85,B105,E105)</f>
        <v xml:space="preserve"> 〒711-0907  岡山県倉敷市児島上の町1-8-8</v>
      </c>
      <c r="K94" t="str">
        <f>IF($H$88=$B$85,C105,F105)</f>
        <v>086-472-7514</v>
      </c>
    </row>
    <row r="95" spans="1:11" ht="15" customHeight="1" x14ac:dyDescent="0.2">
      <c r="B95" t="str">
        <f>HLOOKUP($A$88,$A$98:$D$106,9,FALSE)</f>
        <v xml:space="preserve"> □(株)SDS</v>
      </c>
      <c r="C95" t="str">
        <f t="shared" si="0"/>
        <v xml:space="preserve"> 〒794-0112　愛媛県今治市玉川町小鴨部甲63</v>
      </c>
      <c r="D95" t="str">
        <f t="shared" si="0"/>
        <v>0898-55-4219</v>
      </c>
      <c r="I95" t="str">
        <f>HLOOKUP($H$88,$A$98:$D$106,9,FALSE)</f>
        <v xml:space="preserve"> -</v>
      </c>
      <c r="J95" t="str">
        <f t="shared" si="2"/>
        <v xml:space="preserve"> -</v>
      </c>
      <c r="K95" t="str">
        <f t="shared" si="1"/>
        <v xml:space="preserve"> -</v>
      </c>
    </row>
    <row r="96" spans="1:11" ht="15" customHeight="1" x14ac:dyDescent="0.2">
      <c r="B96" t="str">
        <f>HLOOKUP($A$88,$A$98:$D$107,10,FALSE)</f>
        <v xml:space="preserve"> □吉岡商店</v>
      </c>
      <c r="C96" t="str">
        <f>IF($A$88=$B$85,B107,E107)</f>
        <v xml:space="preserve"> 〒615-0932　京都府京都市右京区梅津上田町10-8</v>
      </c>
      <c r="D96" t="str">
        <f>IF($A$88=$B$85,C107,F107)</f>
        <v>090-9690-6916</v>
      </c>
      <c r="I96" t="str">
        <f>HLOOKUP($H$88,$A$98:$D$107,10,FALSE)</f>
        <v xml:space="preserve"> -</v>
      </c>
      <c r="J96" t="str">
        <f t="shared" si="2"/>
        <v xml:space="preserve"> -</v>
      </c>
      <c r="K96" t="str">
        <f t="shared" si="1"/>
        <v xml:space="preserve"> -</v>
      </c>
    </row>
    <row r="98" spans="1:33" ht="15" customHeight="1" x14ac:dyDescent="0.2">
      <c r="A98" s="33" t="s">
        <v>388</v>
      </c>
      <c r="D98" s="33" t="s">
        <v>403</v>
      </c>
    </row>
    <row r="99" spans="1:33" ht="15" customHeight="1" x14ac:dyDescent="0.2">
      <c r="A99" t="s">
        <v>391</v>
      </c>
      <c r="B99" t="s">
        <v>3529</v>
      </c>
      <c r="C99" t="s">
        <v>3542</v>
      </c>
      <c r="D99" t="s">
        <v>731</v>
      </c>
      <c r="E99" t="s">
        <v>733</v>
      </c>
      <c r="F99" t="s">
        <v>730</v>
      </c>
    </row>
    <row r="100" spans="1:33" ht="15" customHeight="1" x14ac:dyDescent="0.2">
      <c r="A100" t="s">
        <v>392</v>
      </c>
      <c r="B100" t="s">
        <v>3530</v>
      </c>
      <c r="C100" t="s">
        <v>3543</v>
      </c>
      <c r="D100" t="s">
        <v>397</v>
      </c>
      <c r="E100" t="s">
        <v>3536</v>
      </c>
      <c r="F100" t="s">
        <v>3550</v>
      </c>
    </row>
    <row r="101" spans="1:33" ht="15" customHeight="1" x14ac:dyDescent="0.2">
      <c r="A101" t="s">
        <v>393</v>
      </c>
      <c r="B101" t="s">
        <v>3531</v>
      </c>
      <c r="C101" t="s">
        <v>3544</v>
      </c>
      <c r="D101" t="s">
        <v>398</v>
      </c>
      <c r="E101" t="s">
        <v>3537</v>
      </c>
      <c r="F101" t="s">
        <v>3551</v>
      </c>
    </row>
    <row r="102" spans="1:33" ht="15" customHeight="1" x14ac:dyDescent="0.2">
      <c r="A102" t="s">
        <v>394</v>
      </c>
      <c r="B102" t="s">
        <v>3532</v>
      </c>
      <c r="C102" t="s">
        <v>3545</v>
      </c>
      <c r="D102" t="s">
        <v>399</v>
      </c>
      <c r="E102" t="s">
        <v>3538</v>
      </c>
      <c r="F102" t="s">
        <v>3552</v>
      </c>
    </row>
    <row r="103" spans="1:33" ht="15" customHeight="1" x14ac:dyDescent="0.2">
      <c r="A103" t="s">
        <v>728</v>
      </c>
      <c r="B103" t="s">
        <v>732</v>
      </c>
      <c r="C103" t="s">
        <v>734</v>
      </c>
      <c r="D103" t="s">
        <v>3588</v>
      </c>
      <c r="E103" t="s">
        <v>3539</v>
      </c>
      <c r="F103" t="s">
        <v>3553</v>
      </c>
    </row>
    <row r="104" spans="1:33" ht="15" customHeight="1" x14ac:dyDescent="0.2">
      <c r="A104" t="s">
        <v>395</v>
      </c>
      <c r="B104" t="s">
        <v>3534</v>
      </c>
      <c r="C104" t="s">
        <v>3547</v>
      </c>
      <c r="D104" t="s">
        <v>391</v>
      </c>
      <c r="E104" t="s">
        <v>3529</v>
      </c>
      <c r="F104" t="s">
        <v>3542</v>
      </c>
    </row>
    <row r="105" spans="1:33" ht="15" customHeight="1" x14ac:dyDescent="0.2">
      <c r="A105" t="s">
        <v>396</v>
      </c>
      <c r="B105" t="s">
        <v>3535</v>
      </c>
      <c r="C105" t="s">
        <v>3548</v>
      </c>
      <c r="D105" t="s">
        <v>400</v>
      </c>
      <c r="E105" t="s">
        <v>3563</v>
      </c>
      <c r="F105" t="s">
        <v>3562</v>
      </c>
    </row>
    <row r="106" spans="1:33" ht="15" customHeight="1" x14ac:dyDescent="0.2">
      <c r="A106" t="s">
        <v>59</v>
      </c>
      <c r="B106" t="s">
        <v>3557</v>
      </c>
      <c r="C106" t="s">
        <v>3555</v>
      </c>
      <c r="D106" t="s">
        <v>402</v>
      </c>
      <c r="E106" t="s">
        <v>402</v>
      </c>
      <c r="F106" t="s">
        <v>402</v>
      </c>
    </row>
    <row r="107" spans="1:33" ht="15" customHeight="1" x14ac:dyDescent="0.2">
      <c r="A107" t="s">
        <v>63</v>
      </c>
      <c r="B107" t="s">
        <v>3122</v>
      </c>
      <c r="C107" t="s">
        <v>3125</v>
      </c>
      <c r="D107" t="s">
        <v>402</v>
      </c>
      <c r="E107" t="s">
        <v>402</v>
      </c>
      <c r="F107" t="s">
        <v>402</v>
      </c>
    </row>
    <row r="109" spans="1:33" ht="15" customHeight="1" x14ac:dyDescent="0.2">
      <c r="A109" s="41"/>
      <c r="B109" s="41"/>
      <c r="C109" s="41"/>
      <c r="D109" s="41"/>
      <c r="E109" s="41"/>
    </row>
    <row r="110" spans="1:33" ht="15" customHeight="1" thickBot="1" x14ac:dyDescent="0.25"/>
    <row r="111" spans="1:33" ht="24.75" customHeight="1" x14ac:dyDescent="0.2">
      <c r="B111" s="324" t="s">
        <v>3130</v>
      </c>
      <c r="C111" s="325"/>
      <c r="D111" s="325"/>
      <c r="E111" s="325"/>
      <c r="F111" s="325"/>
      <c r="G111" s="325"/>
      <c r="H111" s="325" t="s">
        <v>3131</v>
      </c>
      <c r="I111" s="325"/>
      <c r="J111" s="325"/>
      <c r="K111" s="325"/>
      <c r="L111" s="325"/>
      <c r="M111" s="325"/>
      <c r="N111" s="325"/>
      <c r="O111" s="325"/>
      <c r="P111" s="325"/>
      <c r="Q111" s="325"/>
      <c r="R111" s="325"/>
      <c r="S111" s="325"/>
      <c r="T111" s="325" t="s">
        <v>1574</v>
      </c>
      <c r="U111" s="325"/>
      <c r="V111" s="325"/>
      <c r="W111" s="325"/>
      <c r="X111" s="325"/>
      <c r="Y111" s="325"/>
      <c r="Z111" s="325"/>
      <c r="AA111" s="326" t="s">
        <v>1575</v>
      </c>
      <c r="AB111" s="327"/>
      <c r="AC111" s="17"/>
      <c r="AD111" s="24"/>
      <c r="AE111" s="24"/>
      <c r="AF111" s="24"/>
      <c r="AG111" s="24"/>
    </row>
    <row r="112" spans="1:33" ht="20.25" customHeight="1" x14ac:dyDescent="0.2">
      <c r="B112" s="328">
        <v>1</v>
      </c>
      <c r="C112" s="329"/>
      <c r="D112" s="330" t="str">
        <f>IF(メーカー加工場!B150=2,"",AD135)</f>
        <v>PMZ-1001-1</v>
      </c>
      <c r="E112" s="330"/>
      <c r="F112" s="330"/>
      <c r="G112" s="330"/>
      <c r="H112" s="332" t="str">
        <f>IF(メーカー加工場!$B$78=2,"",H135)</f>
        <v>ドライショートスリーブTシャツ(左or右胸ロゴ付き)</v>
      </c>
      <c r="I112" s="332"/>
      <c r="J112" s="332"/>
      <c r="K112" s="332"/>
      <c r="L112" s="332"/>
      <c r="M112" s="332"/>
      <c r="N112" s="332"/>
      <c r="O112" s="332"/>
      <c r="P112" s="332"/>
      <c r="Q112" s="332"/>
      <c r="R112" s="332"/>
      <c r="S112" s="332"/>
      <c r="T112" s="656" t="str">
        <f>IF(メーカー加工場!$B$78=2,"",T135)</f>
        <v>右胸_本体BLK×ロゴNVY</v>
      </c>
      <c r="U112" s="657"/>
      <c r="V112" s="657"/>
      <c r="W112" s="657"/>
      <c r="X112" s="658"/>
      <c r="Y112" s="331" t="str">
        <f>IF(メーカー加工場!$B$78=2,"",Y135)</f>
        <v>M</v>
      </c>
      <c r="Z112" s="332"/>
      <c r="AA112" s="337">
        <f>IF(メーカー加工場!$B$78=2,"",AA135)</f>
        <v>1</v>
      </c>
      <c r="AB112" s="338"/>
      <c r="AC112" s="17"/>
      <c r="AD112" s="18"/>
      <c r="AE112" s="18"/>
      <c r="AF112" s="18"/>
      <c r="AG112" s="18"/>
    </row>
    <row r="113" spans="2:33" ht="20.25" customHeight="1" x14ac:dyDescent="0.15">
      <c r="B113" s="349">
        <v>2</v>
      </c>
      <c r="C113" s="350"/>
      <c r="D113" s="351" t="str">
        <f>IF(メーカー加工場!$B$78=2,"",IF(D136=0,"",IF(旧貼付用!B7=旧貼付用!B6,"〃",AD136)))</f>
        <v>PMZ-1001-2</v>
      </c>
      <c r="E113" s="352"/>
      <c r="F113" s="352"/>
      <c r="G113" s="353"/>
      <c r="H113" s="650" t="str">
        <f>IF(メーカー加工場!$B$78=2,"",IF(D113=$AG$134,"〃",H136))</f>
        <v>ドライショートスリーブTシャツ(左or右袖ロゴ付き)</v>
      </c>
      <c r="I113" s="651"/>
      <c r="J113" s="651"/>
      <c r="K113" s="651"/>
      <c r="L113" s="651"/>
      <c r="M113" s="651"/>
      <c r="N113" s="651"/>
      <c r="O113" s="651"/>
      <c r="P113" s="651"/>
      <c r="Q113" s="651"/>
      <c r="R113" s="651"/>
      <c r="S113" s="346"/>
      <c r="T113" s="650" t="str">
        <f>IF(メーカー加工場!$B$78=2,"",T136)</f>
        <v>右袖_本体WHT×ロゴHtPNK</v>
      </c>
      <c r="U113" s="651"/>
      <c r="V113" s="651"/>
      <c r="W113" s="651"/>
      <c r="X113" s="652"/>
      <c r="Y113" s="345" t="str">
        <f>IF(メーカー加工場!$B$78=2,"",Y136)</f>
        <v>M</v>
      </c>
      <c r="Z113" s="346"/>
      <c r="AA113" s="347">
        <f>IF(メーカー加工場!$B$78=2,"",AA136)</f>
        <v>2</v>
      </c>
      <c r="AB113" s="348"/>
      <c r="AC113" s="15"/>
      <c r="AD113" s="15"/>
      <c r="AE113" s="15"/>
      <c r="AF113" s="15"/>
      <c r="AG113" s="16"/>
    </row>
    <row r="114" spans="2:33" ht="20.25" customHeight="1" x14ac:dyDescent="0.15">
      <c r="B114" s="349">
        <v>3</v>
      </c>
      <c r="C114" s="350"/>
      <c r="D114" s="351" t="str">
        <f>IF(メーカー加工場!$B$78=2,"",IF(D137=0,"",IF(旧貼付用!B8=旧貼付用!B7,"〃",AD137)))</f>
        <v>PMZ-1001-3</v>
      </c>
      <c r="E114" s="352"/>
      <c r="F114" s="352"/>
      <c r="G114" s="353"/>
      <c r="H114" s="650" t="str">
        <f>IF(メーカー加工場!$B$78=2,"",IF(D114=$AG$134,"〃",H137))</f>
        <v>ドライショートスリーブTシャツ(背中襟下ロゴ付き)</v>
      </c>
      <c r="I114" s="651"/>
      <c r="J114" s="651"/>
      <c r="K114" s="651"/>
      <c r="L114" s="651"/>
      <c r="M114" s="651"/>
      <c r="N114" s="651"/>
      <c r="O114" s="651"/>
      <c r="P114" s="651"/>
      <c r="Q114" s="651"/>
      <c r="R114" s="651"/>
      <c r="S114" s="346"/>
      <c r="T114" s="650" t="str">
        <f>IF(メーカー加工場!$B$78=2,"",T137)</f>
        <v>背中襟下_本体NVY×ロゴLmGRN</v>
      </c>
      <c r="U114" s="651"/>
      <c r="V114" s="651"/>
      <c r="W114" s="651"/>
      <c r="X114" s="652"/>
      <c r="Y114" s="345">
        <f>IF(メーカー加工場!$B$78=2,"",Y137)</f>
        <v>150</v>
      </c>
      <c r="Z114" s="346"/>
      <c r="AA114" s="347">
        <f>IF(メーカー加工場!$B$78=2,"",AA137)</f>
        <v>3</v>
      </c>
      <c r="AB114" s="348"/>
      <c r="AC114" s="15"/>
      <c r="AD114" s="15"/>
      <c r="AE114" s="15"/>
      <c r="AF114" s="15"/>
      <c r="AG114" s="16"/>
    </row>
    <row r="115" spans="2:33" ht="20.25" customHeight="1" x14ac:dyDescent="0.15">
      <c r="B115" s="349">
        <v>4</v>
      </c>
      <c r="C115" s="350"/>
      <c r="D115" s="351" t="str">
        <f>IF(メーカー加工場!$B$78=2,"",IF(D138=0,"",IF(旧貼付用!B9=旧貼付用!B8,"〃",AD138)))</f>
        <v>PMZ-2001-1</v>
      </c>
      <c r="E115" s="352"/>
      <c r="F115" s="352"/>
      <c r="G115" s="353"/>
      <c r="H115" s="650" t="str">
        <f>IF(メーカー加工場!$B$78=2,"",IF(D115=$AG$134,"〃",H138))</f>
        <v>ドライロングスリーブTシャツ(左or右胸ロゴ付き)</v>
      </c>
      <c r="I115" s="651"/>
      <c r="J115" s="651"/>
      <c r="K115" s="651"/>
      <c r="L115" s="651"/>
      <c r="M115" s="651"/>
      <c r="N115" s="651"/>
      <c r="O115" s="651"/>
      <c r="P115" s="651"/>
      <c r="Q115" s="651"/>
      <c r="R115" s="651"/>
      <c r="S115" s="346"/>
      <c r="T115" s="650" t="str">
        <f>IF(メーカー加工場!$B$78=2,"",T138)</f>
        <v>左胸_本体WHT×ロゴBLU</v>
      </c>
      <c r="U115" s="651"/>
      <c r="V115" s="651"/>
      <c r="W115" s="651"/>
      <c r="X115" s="652"/>
      <c r="Y115" s="345" t="str">
        <f>IF(メーカー加工場!$B$78=2,"",Y138)</f>
        <v>L</v>
      </c>
      <c r="Z115" s="346"/>
      <c r="AA115" s="347">
        <f>IF(メーカー加工場!$B$78=2,"",AA138)</f>
        <v>1</v>
      </c>
      <c r="AB115" s="348"/>
      <c r="AC115" s="15"/>
      <c r="AD115" s="15"/>
      <c r="AE115" s="15"/>
      <c r="AF115" s="15"/>
      <c r="AG115" s="16"/>
    </row>
    <row r="116" spans="2:33" ht="20.25" customHeight="1" x14ac:dyDescent="0.15">
      <c r="B116" s="349">
        <v>5</v>
      </c>
      <c r="C116" s="350"/>
      <c r="D116" s="351" t="str">
        <f>IF(メーカー加工場!$B$78=2,"",IF(D139=0,"",IF(旧貼付用!B10=旧貼付用!B9,"〃",AD139)))</f>
        <v>PMZ-2001-2</v>
      </c>
      <c r="E116" s="352"/>
      <c r="F116" s="352"/>
      <c r="G116" s="353"/>
      <c r="H116" s="650" t="str">
        <f>IF(メーカー加工場!$B$78=2,"★別紙参照★",IF(D116=$AG$134,"〃",H139))</f>
        <v>ドライロングスリーブTシャツ(左or右袖ロゴ付き)</v>
      </c>
      <c r="I116" s="651"/>
      <c r="J116" s="651"/>
      <c r="K116" s="651"/>
      <c r="L116" s="651"/>
      <c r="M116" s="651"/>
      <c r="N116" s="651"/>
      <c r="O116" s="651"/>
      <c r="P116" s="651"/>
      <c r="Q116" s="651"/>
      <c r="R116" s="651"/>
      <c r="S116" s="346"/>
      <c r="T116" s="650" t="str">
        <f>IF(メーカー加工場!$B$78=2,"",T139)</f>
        <v>右袖_本体BLK×ロゴRED</v>
      </c>
      <c r="U116" s="651"/>
      <c r="V116" s="651"/>
      <c r="W116" s="651"/>
      <c r="X116" s="652"/>
      <c r="Y116" s="345" t="str">
        <f>IF(メーカー加工場!$B$78=2,"",Y139)</f>
        <v>3XL</v>
      </c>
      <c r="Z116" s="346"/>
      <c r="AA116" s="347">
        <f>IF(メーカー加工場!$B$78=2,"",AA139)</f>
        <v>2</v>
      </c>
      <c r="AB116" s="348"/>
      <c r="AC116" s="15"/>
      <c r="AD116" s="15"/>
      <c r="AE116" s="15"/>
      <c r="AF116" s="15"/>
      <c r="AG116" s="16"/>
    </row>
    <row r="117" spans="2:33" ht="20.25" customHeight="1" x14ac:dyDescent="0.15">
      <c r="B117" s="349">
        <v>6</v>
      </c>
      <c r="C117" s="350"/>
      <c r="D117" s="351" t="str">
        <f>IF(メーカー加工場!$B$78=2,"",IF(D140=0,"",IF(旧貼付用!B11=旧貼付用!B10,"〃",AD140)))</f>
        <v>PMZ-2001-3</v>
      </c>
      <c r="E117" s="352"/>
      <c r="F117" s="352"/>
      <c r="G117" s="353"/>
      <c r="H117" s="650" t="str">
        <f>IF(メーカー加工場!$B$78=2,"",IF(D117=$AG$134,"〃",H140))</f>
        <v>ドライロングスリーブTシャツ(背中襟下ロゴ付き)</v>
      </c>
      <c r="I117" s="651"/>
      <c r="J117" s="651"/>
      <c r="K117" s="651"/>
      <c r="L117" s="651"/>
      <c r="M117" s="651"/>
      <c r="N117" s="651"/>
      <c r="O117" s="651"/>
      <c r="P117" s="651"/>
      <c r="Q117" s="651"/>
      <c r="R117" s="651"/>
      <c r="S117" s="346"/>
      <c r="T117" s="650" t="str">
        <f>IF(メーカー加工場!$B$78=2,"",T140)</f>
        <v>背中襟下_本体BLK×ロゴWHT</v>
      </c>
      <c r="U117" s="651"/>
      <c r="V117" s="651"/>
      <c r="W117" s="651"/>
      <c r="X117" s="652"/>
      <c r="Y117" s="345" t="str">
        <f>IF(メーカー加工場!$B$78=2,"",Y140)</f>
        <v>M</v>
      </c>
      <c r="Z117" s="346"/>
      <c r="AA117" s="347">
        <f>IF(メーカー加工場!$B$78=2,"",AA140)</f>
        <v>5</v>
      </c>
      <c r="AB117" s="348"/>
      <c r="AC117" s="15"/>
      <c r="AD117" s="15"/>
      <c r="AE117" s="15"/>
      <c r="AF117" s="15"/>
      <c r="AG117" s="16"/>
    </row>
    <row r="118" spans="2:33" ht="20.25" customHeight="1" x14ac:dyDescent="0.15">
      <c r="B118" s="349">
        <v>7</v>
      </c>
      <c r="C118" s="350"/>
      <c r="D118" s="351" t="str">
        <f>IF(メーカー加工場!$B$78=2,"",IF(D141=0,"",IF(旧貼付用!B12=旧貼付用!B11,"〃",AD141)))</f>
        <v>PMZ-3001-1</v>
      </c>
      <c r="E118" s="352"/>
      <c r="F118" s="352"/>
      <c r="G118" s="353"/>
      <c r="H118" s="650" t="str">
        <f>IF(メーカー加工場!$B$78=2,"",IF(D118=$AG$134,"〃",H141))</f>
        <v>ボタンダウンポロシャツ(左or右胸ロゴ付き)</v>
      </c>
      <c r="I118" s="651"/>
      <c r="J118" s="651"/>
      <c r="K118" s="651"/>
      <c r="L118" s="651"/>
      <c r="M118" s="651"/>
      <c r="N118" s="651"/>
      <c r="O118" s="651"/>
      <c r="P118" s="651"/>
      <c r="Q118" s="651"/>
      <c r="R118" s="651"/>
      <c r="S118" s="346"/>
      <c r="T118" s="650" t="str">
        <f>IF(メーカー加工場!$B$78=2,"",T141)</f>
        <v>左胸_本体YEL×ロゴYEL</v>
      </c>
      <c r="U118" s="651"/>
      <c r="V118" s="651"/>
      <c r="W118" s="651"/>
      <c r="X118" s="652"/>
      <c r="Y118" s="345" t="str">
        <f>IF(メーカー加工場!$B$78=2,"",Y141)</f>
        <v>XL</v>
      </c>
      <c r="Z118" s="346"/>
      <c r="AA118" s="347">
        <f>IF(メーカー加工場!$B$78=2,"",AA141)</f>
        <v>1</v>
      </c>
      <c r="AB118" s="348"/>
      <c r="AC118" s="15"/>
      <c r="AD118" s="15"/>
      <c r="AE118" s="15"/>
      <c r="AF118" s="15"/>
      <c r="AG118" s="16"/>
    </row>
    <row r="119" spans="2:33" ht="20.25" customHeight="1" x14ac:dyDescent="0.15">
      <c r="B119" s="349">
        <v>8</v>
      </c>
      <c r="C119" s="350"/>
      <c r="D119" s="351" t="str">
        <f>IF(メーカー加工場!$B$78=2,"",IF(D142=0,"",IF(旧貼付用!B13=旧貼付用!B12,"〃",AD142)))</f>
        <v>PMZ-3001-2</v>
      </c>
      <c r="E119" s="352"/>
      <c r="F119" s="352"/>
      <c r="G119" s="353"/>
      <c r="H119" s="650" t="str">
        <f>IF(メーカー加工場!$B$78=2,"",IF(D119=$AG$134,"〃",H142))</f>
        <v>ボタンダウンポロシャツ(左or右袖ロゴ付き)</v>
      </c>
      <c r="I119" s="651"/>
      <c r="J119" s="651"/>
      <c r="K119" s="651"/>
      <c r="L119" s="651"/>
      <c r="M119" s="651"/>
      <c r="N119" s="651"/>
      <c r="O119" s="651"/>
      <c r="P119" s="651"/>
      <c r="Q119" s="651"/>
      <c r="R119" s="651"/>
      <c r="S119" s="346"/>
      <c r="T119" s="650" t="str">
        <f>IF(メーカー加工場!$B$78=2,"",T142)</f>
        <v>右袖_本体BLK×ロゴORG</v>
      </c>
      <c r="U119" s="651"/>
      <c r="V119" s="651"/>
      <c r="W119" s="651"/>
      <c r="X119" s="652"/>
      <c r="Y119" s="345" t="str">
        <f>IF(メーカー加工場!$B$78=2,"",Y142)</f>
        <v>S</v>
      </c>
      <c r="Z119" s="346"/>
      <c r="AA119" s="347">
        <f>IF(メーカー加工場!$B$78=2,"",AA142)</f>
        <v>2</v>
      </c>
      <c r="AB119" s="348"/>
      <c r="AC119" s="15"/>
      <c r="AD119" s="15"/>
      <c r="AE119" s="15"/>
      <c r="AF119" s="15"/>
      <c r="AG119" s="16"/>
    </row>
    <row r="120" spans="2:33" ht="20.25" customHeight="1" x14ac:dyDescent="0.15">
      <c r="B120" s="349">
        <v>9</v>
      </c>
      <c r="C120" s="350"/>
      <c r="D120" s="351" t="str">
        <f>IF(メーカー加工場!$B$78=2,"",IF(D143=0,"",IF(旧貼付用!B14=旧貼付用!B13,"〃",AD143)))</f>
        <v>PMZ-3001-3</v>
      </c>
      <c r="E120" s="352"/>
      <c r="F120" s="352"/>
      <c r="G120" s="353"/>
      <c r="H120" s="650" t="str">
        <f>IF(メーカー加工場!$B$78=2,"",IF(D120=$AG$134,"〃",H143))</f>
        <v>ボタンダウンポロシャツ(背中襟下ロゴ付き)</v>
      </c>
      <c r="I120" s="651"/>
      <c r="J120" s="651"/>
      <c r="K120" s="651"/>
      <c r="L120" s="651"/>
      <c r="M120" s="651"/>
      <c r="N120" s="651"/>
      <c r="O120" s="651"/>
      <c r="P120" s="651"/>
      <c r="Q120" s="651"/>
      <c r="R120" s="651"/>
      <c r="S120" s="346"/>
      <c r="T120" s="650" t="str">
        <f>IF(メーカー加工場!$B$78=2,"",T143)</f>
        <v>背中襟下_本体NVY×ロゴHtPNK</v>
      </c>
      <c r="U120" s="651"/>
      <c r="V120" s="651"/>
      <c r="W120" s="651"/>
      <c r="X120" s="652"/>
      <c r="Y120" s="345" t="str">
        <f>IF(メーカー加工場!$B$78=2,"",Y143)</f>
        <v>XS</v>
      </c>
      <c r="Z120" s="346"/>
      <c r="AA120" s="347">
        <f>IF(メーカー加工場!$B$78=2,"",AA143)</f>
        <v>3</v>
      </c>
      <c r="AB120" s="348"/>
      <c r="AC120" s="15"/>
      <c r="AD120" s="15"/>
      <c r="AE120" s="15"/>
      <c r="AF120" s="15"/>
      <c r="AG120" s="16"/>
    </row>
    <row r="121" spans="2:33" ht="20.25" customHeight="1" x14ac:dyDescent="0.15">
      <c r="B121" s="349">
        <v>10</v>
      </c>
      <c r="C121" s="350"/>
      <c r="D121" s="351" t="str">
        <f>IF(メーカー加工場!$B$78=2,"",IF(D144=0,"",IF(旧貼付用!B15=旧貼付用!B14,"〃",AD144)))</f>
        <v/>
      </c>
      <c r="E121" s="352"/>
      <c r="F121" s="352"/>
      <c r="G121" s="353"/>
      <c r="H121" s="650" t="str">
        <f>IF(メーカー加工場!$B$78=2,"",IF(D121=$AG$134,"〃",H144))</f>
        <v/>
      </c>
      <c r="I121" s="651"/>
      <c r="J121" s="651"/>
      <c r="K121" s="651"/>
      <c r="L121" s="651"/>
      <c r="M121" s="651"/>
      <c r="N121" s="651"/>
      <c r="O121" s="651"/>
      <c r="P121" s="651"/>
      <c r="Q121" s="651"/>
      <c r="R121" s="651"/>
      <c r="S121" s="346"/>
      <c r="T121" s="650" t="str">
        <f>IF(メーカー加工場!$B$78=2,"",T144)</f>
        <v/>
      </c>
      <c r="U121" s="651"/>
      <c r="V121" s="651"/>
      <c r="W121" s="651"/>
      <c r="X121" s="652"/>
      <c r="Y121" s="345" t="str">
        <f>IF(メーカー加工場!$B$78=2,"",Y144)</f>
        <v/>
      </c>
      <c r="Z121" s="346"/>
      <c r="AA121" s="347" t="str">
        <f>IF(メーカー加工場!$B$78=2,"",AA144)</f>
        <v/>
      </c>
      <c r="AB121" s="348"/>
      <c r="AC121" s="15"/>
      <c r="AD121" s="15"/>
      <c r="AE121" s="15"/>
      <c r="AF121" s="15"/>
      <c r="AG121" s="16"/>
    </row>
    <row r="122" spans="2:33" ht="20.25" customHeight="1" x14ac:dyDescent="0.15">
      <c r="B122" s="349">
        <v>11</v>
      </c>
      <c r="C122" s="350"/>
      <c r="D122" s="351" t="str">
        <f>IF(メーカー加工場!$B$78=2,"",IF(D145=0,"",IF(旧貼付用!B16=旧貼付用!B15,"〃",AD145)))</f>
        <v/>
      </c>
      <c r="E122" s="352"/>
      <c r="F122" s="352"/>
      <c r="G122" s="353"/>
      <c r="H122" s="650" t="str">
        <f>IF(メーカー加工場!$B$78=2,"",IF(D122=$AG$134,"〃",H145))</f>
        <v/>
      </c>
      <c r="I122" s="651"/>
      <c r="J122" s="651"/>
      <c r="K122" s="651"/>
      <c r="L122" s="651"/>
      <c r="M122" s="651"/>
      <c r="N122" s="651"/>
      <c r="O122" s="651"/>
      <c r="P122" s="651"/>
      <c r="Q122" s="651"/>
      <c r="R122" s="651"/>
      <c r="S122" s="346"/>
      <c r="T122" s="650" t="str">
        <f>IF(メーカー加工場!$B$78=2,"",T145)</f>
        <v/>
      </c>
      <c r="U122" s="651"/>
      <c r="V122" s="651"/>
      <c r="W122" s="651"/>
      <c r="X122" s="652"/>
      <c r="Y122" s="345" t="str">
        <f>IF(メーカー加工場!$B$78=2,"",Y145)</f>
        <v/>
      </c>
      <c r="Z122" s="346"/>
      <c r="AA122" s="347" t="str">
        <f>IF(メーカー加工場!$B$78=2,"",AA145)</f>
        <v/>
      </c>
      <c r="AB122" s="348"/>
      <c r="AC122" s="15"/>
      <c r="AD122" s="15"/>
      <c r="AE122" s="15"/>
      <c r="AF122" s="15"/>
      <c r="AG122" s="16"/>
    </row>
    <row r="123" spans="2:33" ht="20.25" customHeight="1" x14ac:dyDescent="0.15">
      <c r="B123" s="349">
        <v>12</v>
      </c>
      <c r="C123" s="350"/>
      <c r="D123" s="351" t="str">
        <f>IF(メーカー加工場!$B$78=2,"",IF(D146=0,"",IF(旧貼付用!B17=旧貼付用!B16,"〃",AD146)))</f>
        <v/>
      </c>
      <c r="E123" s="352"/>
      <c r="F123" s="352"/>
      <c r="G123" s="353"/>
      <c r="H123" s="650" t="str">
        <f>IF(メーカー加工場!$B$78=2,"",IF(D123=$AG$134,"〃",H146))</f>
        <v/>
      </c>
      <c r="I123" s="651"/>
      <c r="J123" s="651"/>
      <c r="K123" s="651"/>
      <c r="L123" s="651"/>
      <c r="M123" s="651"/>
      <c r="N123" s="651"/>
      <c r="O123" s="651"/>
      <c r="P123" s="651"/>
      <c r="Q123" s="651"/>
      <c r="R123" s="651"/>
      <c r="S123" s="346"/>
      <c r="T123" s="650" t="str">
        <f>IF(メーカー加工場!$B$78=2,"",T146)</f>
        <v/>
      </c>
      <c r="U123" s="651"/>
      <c r="V123" s="651"/>
      <c r="W123" s="651"/>
      <c r="X123" s="652"/>
      <c r="Y123" s="345" t="str">
        <f>IF(メーカー加工場!$B$78=2,"",Y146)</f>
        <v/>
      </c>
      <c r="Z123" s="346"/>
      <c r="AA123" s="347" t="str">
        <f>IF(メーカー加工場!$B$78=2,"",AA146)</f>
        <v/>
      </c>
      <c r="AB123" s="348"/>
      <c r="AC123" s="15"/>
      <c r="AD123" s="15"/>
      <c r="AE123" s="15"/>
      <c r="AF123" s="15"/>
      <c r="AG123" s="16"/>
    </row>
    <row r="124" spans="2:33" ht="20.25" customHeight="1" x14ac:dyDescent="0.15">
      <c r="B124" s="349">
        <v>13</v>
      </c>
      <c r="C124" s="350"/>
      <c r="D124" s="351" t="str">
        <f>IF(メーカー加工場!$B$78=2,"",IF(D147=0,"",IF(旧貼付用!B18=旧貼付用!B17,"〃",AD147)))</f>
        <v/>
      </c>
      <c r="E124" s="352"/>
      <c r="F124" s="352"/>
      <c r="G124" s="353"/>
      <c r="H124" s="650" t="str">
        <f>IF(メーカー加工場!$B$78=2,"",IF(D124=$AG$134,"〃",H147))</f>
        <v/>
      </c>
      <c r="I124" s="651"/>
      <c r="J124" s="651"/>
      <c r="K124" s="651"/>
      <c r="L124" s="651"/>
      <c r="M124" s="651"/>
      <c r="N124" s="651"/>
      <c r="O124" s="651"/>
      <c r="P124" s="651"/>
      <c r="Q124" s="651"/>
      <c r="R124" s="651"/>
      <c r="S124" s="346"/>
      <c r="T124" s="650" t="str">
        <f>IF(メーカー加工場!$B$78=2,"",T147)</f>
        <v/>
      </c>
      <c r="U124" s="651"/>
      <c r="V124" s="651"/>
      <c r="W124" s="651"/>
      <c r="X124" s="652"/>
      <c r="Y124" s="345" t="str">
        <f>IF(メーカー加工場!$B$78=2,"",Y147)</f>
        <v/>
      </c>
      <c r="Z124" s="346"/>
      <c r="AA124" s="347" t="str">
        <f>IF(メーカー加工場!$B$78=2,"",AA147)</f>
        <v/>
      </c>
      <c r="AB124" s="348"/>
      <c r="AC124" s="15"/>
      <c r="AD124" s="15"/>
      <c r="AE124" s="15"/>
      <c r="AF124" s="15"/>
      <c r="AG124" s="16"/>
    </row>
    <row r="125" spans="2:33" ht="20.25" customHeight="1" x14ac:dyDescent="0.15">
      <c r="B125" s="349">
        <v>14</v>
      </c>
      <c r="C125" s="350"/>
      <c r="D125" s="351" t="str">
        <f>IF(メーカー加工場!$B$78=2,"",IF(D148=0,"",IF(旧貼付用!B19=旧貼付用!B18,"〃",AD148)))</f>
        <v/>
      </c>
      <c r="E125" s="352"/>
      <c r="F125" s="352"/>
      <c r="G125" s="353"/>
      <c r="H125" s="650" t="str">
        <f>IF(メーカー加工場!$B$78=2,"",IF(D125=$AG$134,"〃",H148))</f>
        <v/>
      </c>
      <c r="I125" s="651"/>
      <c r="J125" s="651"/>
      <c r="K125" s="651"/>
      <c r="L125" s="651"/>
      <c r="M125" s="651"/>
      <c r="N125" s="651"/>
      <c r="O125" s="651"/>
      <c r="P125" s="651"/>
      <c r="Q125" s="651"/>
      <c r="R125" s="651"/>
      <c r="S125" s="346"/>
      <c r="T125" s="650" t="str">
        <f>IF(メーカー加工場!$B$78=2,"",T148)</f>
        <v/>
      </c>
      <c r="U125" s="651"/>
      <c r="V125" s="651"/>
      <c r="W125" s="651"/>
      <c r="X125" s="652"/>
      <c r="Y125" s="345" t="str">
        <f>IF(メーカー加工場!$B$78=2,"",Y148)</f>
        <v/>
      </c>
      <c r="Z125" s="346"/>
      <c r="AA125" s="347" t="str">
        <f>IF(メーカー加工場!$B$78=2,"",AA148)</f>
        <v/>
      </c>
      <c r="AB125" s="348"/>
      <c r="AC125" s="15"/>
      <c r="AD125" s="15"/>
      <c r="AE125" s="15"/>
      <c r="AF125" s="15"/>
      <c r="AG125" s="16"/>
    </row>
    <row r="126" spans="2:33" ht="20.25" customHeight="1" x14ac:dyDescent="0.15">
      <c r="B126" s="349">
        <v>15</v>
      </c>
      <c r="C126" s="350"/>
      <c r="D126" s="351" t="str">
        <f>IF(メーカー加工場!$B$78=2,"",IF(D149=0,"",IF(旧貼付用!B20=旧貼付用!B19,"〃",AD149)))</f>
        <v/>
      </c>
      <c r="E126" s="352"/>
      <c r="F126" s="352"/>
      <c r="G126" s="353"/>
      <c r="H126" s="650" t="str">
        <f>IF(メーカー加工場!$B$78=2,"",IF(D126=$AG$134,"〃",H149))</f>
        <v/>
      </c>
      <c r="I126" s="651"/>
      <c r="J126" s="651"/>
      <c r="K126" s="651"/>
      <c r="L126" s="651"/>
      <c r="M126" s="651"/>
      <c r="N126" s="651"/>
      <c r="O126" s="651"/>
      <c r="P126" s="651"/>
      <c r="Q126" s="651"/>
      <c r="R126" s="651"/>
      <c r="S126" s="346"/>
      <c r="T126" s="650" t="str">
        <f>IF(メーカー加工場!$B$78=2,"",T149)</f>
        <v/>
      </c>
      <c r="U126" s="651"/>
      <c r="V126" s="651"/>
      <c r="W126" s="651"/>
      <c r="X126" s="652"/>
      <c r="Y126" s="345" t="str">
        <f>IF(メーカー加工場!$B$78=2,"",Y149)</f>
        <v/>
      </c>
      <c r="Z126" s="346"/>
      <c r="AA126" s="347" t="str">
        <f>IF(メーカー加工場!$B$78=2,"",AA149)</f>
        <v/>
      </c>
      <c r="AB126" s="348"/>
      <c r="AC126" s="15"/>
      <c r="AD126" s="15"/>
      <c r="AE126" s="15"/>
      <c r="AF126" s="15"/>
      <c r="AG126" s="16"/>
    </row>
    <row r="127" spans="2:33" ht="20.25" customHeight="1" x14ac:dyDescent="0.15">
      <c r="B127" s="349">
        <v>16</v>
      </c>
      <c r="C127" s="350"/>
      <c r="D127" s="351" t="str">
        <f>IF(メーカー加工場!$B$78=2,"",IF(D150=0,"",IF(旧貼付用!B21=旧貼付用!B20,"〃",AD150)))</f>
        <v/>
      </c>
      <c r="E127" s="352"/>
      <c r="F127" s="352"/>
      <c r="G127" s="353"/>
      <c r="H127" s="650" t="str">
        <f>IF(メーカー加工場!$B$78=2,"",IF(D127=$AG$134,"〃",H150))</f>
        <v/>
      </c>
      <c r="I127" s="651"/>
      <c r="J127" s="651"/>
      <c r="K127" s="651"/>
      <c r="L127" s="651"/>
      <c r="M127" s="651"/>
      <c r="N127" s="651"/>
      <c r="O127" s="651"/>
      <c r="P127" s="651"/>
      <c r="Q127" s="651"/>
      <c r="R127" s="651"/>
      <c r="S127" s="346"/>
      <c r="T127" s="650" t="str">
        <f>IF(メーカー加工場!$B$78=2,"",T150)</f>
        <v/>
      </c>
      <c r="U127" s="651"/>
      <c r="V127" s="651"/>
      <c r="W127" s="651"/>
      <c r="X127" s="652"/>
      <c r="Y127" s="345" t="str">
        <f>IF(メーカー加工場!$B$78=2,"",Y150)</f>
        <v/>
      </c>
      <c r="Z127" s="346"/>
      <c r="AA127" s="347" t="str">
        <f>IF(メーカー加工場!$B$78=2,"",AA150)</f>
        <v/>
      </c>
      <c r="AB127" s="348"/>
      <c r="AC127" s="15"/>
      <c r="AD127" s="15"/>
      <c r="AE127" s="15"/>
      <c r="AF127" s="15"/>
      <c r="AG127" s="16"/>
    </row>
    <row r="128" spans="2:33" ht="20.25" customHeight="1" x14ac:dyDescent="0.15">
      <c r="B128" s="349">
        <v>17</v>
      </c>
      <c r="C128" s="350"/>
      <c r="D128" s="351" t="str">
        <f>IF(メーカー加工場!$B$78=2,"",IF(D151=0,"",IF(旧貼付用!B22=旧貼付用!B21,"〃",AD151)))</f>
        <v/>
      </c>
      <c r="E128" s="352"/>
      <c r="F128" s="352"/>
      <c r="G128" s="353"/>
      <c r="H128" s="650" t="str">
        <f>IF(メーカー加工場!$B$78=2,"",IF(D128=$AG$134,"〃",H151))</f>
        <v/>
      </c>
      <c r="I128" s="651"/>
      <c r="J128" s="651"/>
      <c r="K128" s="651"/>
      <c r="L128" s="651"/>
      <c r="M128" s="651"/>
      <c r="N128" s="651"/>
      <c r="O128" s="651"/>
      <c r="P128" s="651"/>
      <c r="Q128" s="651"/>
      <c r="R128" s="651"/>
      <c r="S128" s="346"/>
      <c r="T128" s="650" t="str">
        <f>IF(メーカー加工場!$B$78=2,"",T151)</f>
        <v/>
      </c>
      <c r="U128" s="651"/>
      <c r="V128" s="651"/>
      <c r="W128" s="651"/>
      <c r="X128" s="652"/>
      <c r="Y128" s="345" t="str">
        <f>IF(メーカー加工場!$B$78=2,"",Y151)</f>
        <v/>
      </c>
      <c r="Z128" s="346"/>
      <c r="AA128" s="347" t="str">
        <f>IF(メーカー加工場!$B$78=2,"",AA151)</f>
        <v/>
      </c>
      <c r="AB128" s="348"/>
      <c r="AC128" s="15"/>
      <c r="AD128" s="15"/>
      <c r="AE128" s="15"/>
      <c r="AF128" s="15"/>
      <c r="AG128" s="16"/>
    </row>
    <row r="129" spans="2:36" ht="20.25" customHeight="1" x14ac:dyDescent="0.15">
      <c r="B129" s="349">
        <v>18</v>
      </c>
      <c r="C129" s="350"/>
      <c r="D129" s="351" t="str">
        <f>IF(メーカー加工場!$B$78=2,"",IF(D152=0,"",IF(旧貼付用!B23=旧貼付用!B22,"〃",AD152)))</f>
        <v/>
      </c>
      <c r="E129" s="352"/>
      <c r="F129" s="352"/>
      <c r="G129" s="353"/>
      <c r="H129" s="650" t="str">
        <f>IF(メーカー加工場!$B$78=2,"",IF(D129=$AG$134,"〃",H152))</f>
        <v/>
      </c>
      <c r="I129" s="651"/>
      <c r="J129" s="651"/>
      <c r="K129" s="651"/>
      <c r="L129" s="651"/>
      <c r="M129" s="651"/>
      <c r="N129" s="651"/>
      <c r="O129" s="651"/>
      <c r="P129" s="651"/>
      <c r="Q129" s="651"/>
      <c r="R129" s="651"/>
      <c r="S129" s="346"/>
      <c r="T129" s="650" t="str">
        <f>IF(メーカー加工場!$B$78=2,"",T152)</f>
        <v/>
      </c>
      <c r="U129" s="651"/>
      <c r="V129" s="651"/>
      <c r="W129" s="651"/>
      <c r="X129" s="652"/>
      <c r="Y129" s="345" t="str">
        <f>IF(メーカー加工場!$B$78=2,"",Y152)</f>
        <v/>
      </c>
      <c r="Z129" s="346"/>
      <c r="AA129" s="347" t="str">
        <f>IF(メーカー加工場!$B$78=2,"",AA152)</f>
        <v/>
      </c>
      <c r="AB129" s="348"/>
      <c r="AC129" s="15"/>
      <c r="AD129" s="15"/>
      <c r="AE129" s="15"/>
      <c r="AF129" s="15"/>
      <c r="AG129" s="16"/>
    </row>
    <row r="130" spans="2:36" ht="20.25" customHeight="1" x14ac:dyDescent="0.15">
      <c r="B130" s="349">
        <v>19</v>
      </c>
      <c r="C130" s="350"/>
      <c r="D130" s="351" t="str">
        <f>IF(メーカー加工場!$B$78=2,"",IF(D153=0,"",IF(旧貼付用!B24=旧貼付用!B23,"〃",AD153)))</f>
        <v/>
      </c>
      <c r="E130" s="352"/>
      <c r="F130" s="352"/>
      <c r="G130" s="353"/>
      <c r="H130" s="650" t="str">
        <f>IF(メーカー加工場!$B$78=2,"",IF(D130=$AG$134,"〃",H153))</f>
        <v/>
      </c>
      <c r="I130" s="651"/>
      <c r="J130" s="651"/>
      <c r="K130" s="651"/>
      <c r="L130" s="651"/>
      <c r="M130" s="651"/>
      <c r="N130" s="651"/>
      <c r="O130" s="651"/>
      <c r="P130" s="651"/>
      <c r="Q130" s="651"/>
      <c r="R130" s="651"/>
      <c r="S130" s="346"/>
      <c r="T130" s="650" t="str">
        <f>IF(メーカー加工場!$B$78=2,"",T153)</f>
        <v/>
      </c>
      <c r="U130" s="651"/>
      <c r="V130" s="651"/>
      <c r="W130" s="651"/>
      <c r="X130" s="652"/>
      <c r="Y130" s="345" t="str">
        <f>IF(メーカー加工場!$B$78=2,"",Y153)</f>
        <v/>
      </c>
      <c r="Z130" s="346"/>
      <c r="AA130" s="347" t="str">
        <f>IF(メーカー加工場!$B$78=2,"",AA153)</f>
        <v/>
      </c>
      <c r="AB130" s="348"/>
      <c r="AC130" s="15"/>
      <c r="AD130" s="15"/>
      <c r="AE130" s="15"/>
      <c r="AF130" s="15"/>
      <c r="AG130" s="16"/>
    </row>
    <row r="131" spans="2:36" ht="20.25" customHeight="1" thickBot="1" x14ac:dyDescent="0.2">
      <c r="B131" s="370">
        <v>20</v>
      </c>
      <c r="C131" s="371"/>
      <c r="D131" s="372" t="str">
        <f>IF(メーカー加工場!$B$78=2,"",IF(D154=0,"",IF(旧貼付用!B25=旧貼付用!B24,"〃",AD154)))</f>
        <v/>
      </c>
      <c r="E131" s="373"/>
      <c r="F131" s="373"/>
      <c r="G131" s="374"/>
      <c r="H131" s="653" t="str">
        <f>IF(メーカー加工場!$B$78=2,"",IF(D131=$AG$134,"〃",H154))</f>
        <v/>
      </c>
      <c r="I131" s="654"/>
      <c r="J131" s="654"/>
      <c r="K131" s="654"/>
      <c r="L131" s="654"/>
      <c r="M131" s="654"/>
      <c r="N131" s="654"/>
      <c r="O131" s="654"/>
      <c r="P131" s="654"/>
      <c r="Q131" s="654"/>
      <c r="R131" s="654"/>
      <c r="S131" s="382"/>
      <c r="T131" s="653" t="str">
        <f>IF(メーカー加工場!$B$78=2,"",T154)</f>
        <v/>
      </c>
      <c r="U131" s="654"/>
      <c r="V131" s="654"/>
      <c r="W131" s="654"/>
      <c r="X131" s="655"/>
      <c r="Y131" s="381" t="str">
        <f>IF(メーカー加工場!$B$78=2,"",Y154)</f>
        <v/>
      </c>
      <c r="Z131" s="382"/>
      <c r="AA131" s="378" t="str">
        <f>IF(メーカー加工場!$B$78=2,"",AA154)</f>
        <v/>
      </c>
      <c r="AB131" s="379"/>
      <c r="AC131" s="15"/>
      <c r="AD131" s="15"/>
      <c r="AE131" s="15"/>
      <c r="AF131" s="15"/>
      <c r="AG131" s="16"/>
    </row>
    <row r="132" spans="2:36" ht="4.5" customHeight="1" x14ac:dyDescent="0.2">
      <c r="B132" s="15"/>
      <c r="C132" s="15"/>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5"/>
      <c r="AB132" s="15"/>
      <c r="AC132" s="15"/>
      <c r="AD132" s="15"/>
      <c r="AE132" s="15"/>
      <c r="AF132" s="15"/>
      <c r="AG132" s="15"/>
    </row>
    <row r="133" spans="2:36" ht="13.8" thickBot="1" x14ac:dyDescent="0.25"/>
    <row r="134" spans="2:36" ht="14.4" x14ac:dyDescent="0.2">
      <c r="B134" s="635" t="s">
        <v>3130</v>
      </c>
      <c r="C134" s="636"/>
      <c r="D134" s="636"/>
      <c r="E134" s="636"/>
      <c r="F134" s="636"/>
      <c r="G134" s="636"/>
      <c r="H134" s="636" t="s">
        <v>3131</v>
      </c>
      <c r="I134" s="636"/>
      <c r="J134" s="636"/>
      <c r="K134" s="636"/>
      <c r="L134" s="636"/>
      <c r="M134" s="636"/>
      <c r="N134" s="636"/>
      <c r="O134" s="636"/>
      <c r="P134" s="636"/>
      <c r="Q134" s="636"/>
      <c r="R134" s="636"/>
      <c r="S134" s="636"/>
      <c r="T134" s="636" t="s">
        <v>1574</v>
      </c>
      <c r="U134" s="636"/>
      <c r="V134" s="636"/>
      <c r="W134" s="636"/>
      <c r="X134" s="636"/>
      <c r="Y134" s="636"/>
      <c r="Z134" s="636"/>
      <c r="AA134" s="28" t="s">
        <v>1575</v>
      </c>
      <c r="AB134" s="30"/>
      <c r="AC134" s="15"/>
      <c r="AD134" s="637"/>
      <c r="AE134" s="637"/>
      <c r="AF134" s="637"/>
      <c r="AG134" s="25" t="s">
        <v>1576</v>
      </c>
      <c r="AH134" s="25"/>
      <c r="AI134" s="25"/>
      <c r="AJ134" s="24"/>
    </row>
    <row r="135" spans="2:36" ht="16.2" x14ac:dyDescent="0.2">
      <c r="B135" s="328">
        <v>1</v>
      </c>
      <c r="C135" s="329"/>
      <c r="D135" s="638" t="str">
        <f>旧貼付用!B6</f>
        <v>PMZ-1001-1</v>
      </c>
      <c r="E135" s="639"/>
      <c r="F135" s="639"/>
      <c r="G135" s="640"/>
      <c r="H135" s="622" t="str">
        <f>IF(D135=0,"",VLOOKUP(D135,商品!A2:E1753,3,FALSE))</f>
        <v>ドライショートスリーブTシャツ(左or右胸ロゴ付き)</v>
      </c>
      <c r="I135" s="621"/>
      <c r="J135" s="621"/>
      <c r="K135" s="621"/>
      <c r="L135" s="621"/>
      <c r="M135" s="621"/>
      <c r="N135" s="621"/>
      <c r="O135" s="621"/>
      <c r="P135" s="621"/>
      <c r="Q135" s="621"/>
      <c r="R135" s="621"/>
      <c r="S135" s="623"/>
      <c r="T135" s="622" t="str">
        <f>IF(D135=0,"",旧貼付用!C6)</f>
        <v>右胸_本体BLK×ロゴNVY</v>
      </c>
      <c r="U135" s="621"/>
      <c r="V135" s="621"/>
      <c r="W135" s="621"/>
      <c r="X135" s="31"/>
      <c r="Y135" s="648" t="str">
        <f>IF(D135=0,"",旧貼付用!D6)</f>
        <v>M</v>
      </c>
      <c r="Z135" s="649"/>
      <c r="AA135" s="19">
        <f>IF(D135=0,"",旧貼付用!E6)</f>
        <v>1</v>
      </c>
      <c r="AB135" s="29"/>
      <c r="AC135" s="15"/>
      <c r="AD135" s="637" t="str">
        <f>IF(D135=0,"",VLOOKUP(D135,商品!$A$2:$E$1753,2,FALSE))</f>
        <v>PMZ-1001-1</v>
      </c>
      <c r="AE135" s="637"/>
      <c r="AF135" s="637"/>
      <c r="AG135" s="23"/>
      <c r="AH135" s="23"/>
      <c r="AI135" s="23"/>
      <c r="AJ135" s="23"/>
    </row>
    <row r="136" spans="2:36" ht="15.6" x14ac:dyDescent="0.15">
      <c r="B136" s="349">
        <v>2</v>
      </c>
      <c r="C136" s="350"/>
      <c r="D136" s="351" t="str">
        <f>旧貼付用!B7</f>
        <v>PMZ-1001-2</v>
      </c>
      <c r="E136" s="352"/>
      <c r="F136" s="352"/>
      <c r="G136" s="353"/>
      <c r="H136" s="632" t="str">
        <f>IF(D136=0,"",VLOOKUP(D136,商品!A2:E1753,3,FALSE))</f>
        <v>ドライショートスリーブTシャツ(左or右袖ロゴ付き)</v>
      </c>
      <c r="I136" s="633"/>
      <c r="J136" s="633"/>
      <c r="K136" s="633"/>
      <c r="L136" s="633"/>
      <c r="M136" s="633"/>
      <c r="N136" s="633"/>
      <c r="O136" s="633"/>
      <c r="P136" s="633"/>
      <c r="Q136" s="633"/>
      <c r="R136" s="633"/>
      <c r="S136" s="634"/>
      <c r="T136" s="632" t="str">
        <f>IF(D136=0,"",旧貼付用!C7)</f>
        <v>右袖_本体WHT×ロゴHtPNK</v>
      </c>
      <c r="U136" s="633"/>
      <c r="V136" s="633"/>
      <c r="W136" s="646"/>
      <c r="X136" s="36"/>
      <c r="Y136" s="345" t="str">
        <f>IF(D136=0,"",旧貼付用!D7)</f>
        <v>M</v>
      </c>
      <c r="Z136" s="346"/>
      <c r="AA136" s="20">
        <f>IF(D136=0,"",旧貼付用!E7)</f>
        <v>2</v>
      </c>
      <c r="AB136" s="29"/>
      <c r="AC136" s="15"/>
      <c r="AD136" s="625" t="str">
        <f>IF(D136=0,"",VLOOKUP(D136,商品!$A$2:$E$1753,2,FALSE))</f>
        <v>PMZ-1001-2</v>
      </c>
      <c r="AE136" s="626"/>
      <c r="AF136" s="627"/>
      <c r="AG136" s="15"/>
      <c r="AH136" s="15"/>
      <c r="AI136" s="15"/>
      <c r="AJ136" s="16"/>
    </row>
    <row r="137" spans="2:36" ht="15.6" x14ac:dyDescent="0.15">
      <c r="B137" s="349">
        <v>3</v>
      </c>
      <c r="C137" s="350"/>
      <c r="D137" s="351" t="str">
        <f>旧貼付用!B8</f>
        <v>PMZ-1001-3</v>
      </c>
      <c r="E137" s="352"/>
      <c r="F137" s="352"/>
      <c r="G137" s="353"/>
      <c r="H137" s="632" t="str">
        <f>IF(D137=0,"",VLOOKUP(D137,商品!A2:E1753,3,FALSE))</f>
        <v>ドライショートスリーブTシャツ(背中襟下ロゴ付き)</v>
      </c>
      <c r="I137" s="633"/>
      <c r="J137" s="633"/>
      <c r="K137" s="633"/>
      <c r="L137" s="633"/>
      <c r="M137" s="633"/>
      <c r="N137" s="633"/>
      <c r="O137" s="633"/>
      <c r="P137" s="633"/>
      <c r="Q137" s="633"/>
      <c r="R137" s="633"/>
      <c r="S137" s="634"/>
      <c r="T137" s="632" t="str">
        <f>IF(D137=0,"",旧貼付用!C8)</f>
        <v>背中襟下_本体NVY×ロゴLmGRN</v>
      </c>
      <c r="U137" s="633"/>
      <c r="V137" s="633"/>
      <c r="W137" s="646"/>
      <c r="X137" s="36"/>
      <c r="Y137" s="345">
        <f>IF(D137=0,"",旧貼付用!D8)</f>
        <v>150</v>
      </c>
      <c r="Z137" s="346"/>
      <c r="AA137" s="20">
        <f>IF(D137=0,"",旧貼付用!E8)</f>
        <v>3</v>
      </c>
      <c r="AB137" s="29"/>
      <c r="AC137" s="15"/>
      <c r="AD137" s="625" t="str">
        <f>IF(D137=0,"",VLOOKUP(D137,商品!$A$2:$E$1753,2,FALSE))</f>
        <v>PMZ-1001-3</v>
      </c>
      <c r="AE137" s="626"/>
      <c r="AF137" s="627"/>
      <c r="AG137" s="15"/>
      <c r="AH137" s="15"/>
      <c r="AI137" s="15"/>
      <c r="AJ137" s="16"/>
    </row>
    <row r="138" spans="2:36" ht="15.6" x14ac:dyDescent="0.15">
      <c r="B138" s="349">
        <v>4</v>
      </c>
      <c r="C138" s="350"/>
      <c r="D138" s="351" t="str">
        <f>旧貼付用!B9</f>
        <v>PMZ-2001-1</v>
      </c>
      <c r="E138" s="352"/>
      <c r="F138" s="352"/>
      <c r="G138" s="353"/>
      <c r="H138" s="632" t="str">
        <f>IF(D138=0,"",VLOOKUP(D138,商品!A2:E1753,3,FALSE))</f>
        <v>ドライロングスリーブTシャツ(左or右胸ロゴ付き)</v>
      </c>
      <c r="I138" s="633"/>
      <c r="J138" s="633"/>
      <c r="K138" s="633"/>
      <c r="L138" s="633"/>
      <c r="M138" s="633"/>
      <c r="N138" s="633"/>
      <c r="O138" s="633"/>
      <c r="P138" s="633"/>
      <c r="Q138" s="633"/>
      <c r="R138" s="633"/>
      <c r="S138" s="634"/>
      <c r="T138" s="632" t="str">
        <f>IF(D138=0,"",旧貼付用!C9)</f>
        <v>左胸_本体WHT×ロゴBLU</v>
      </c>
      <c r="U138" s="633"/>
      <c r="V138" s="633"/>
      <c r="W138" s="646"/>
      <c r="X138" s="36"/>
      <c r="Y138" s="345" t="str">
        <f>IF(D138=0,"",旧貼付用!D9)</f>
        <v>L</v>
      </c>
      <c r="Z138" s="346"/>
      <c r="AA138" s="20">
        <f>IF(D138=0,"",旧貼付用!E9)</f>
        <v>1</v>
      </c>
      <c r="AB138" s="29"/>
      <c r="AC138" s="15"/>
      <c r="AD138" s="625" t="str">
        <f>IF(D138=0,"",VLOOKUP(D138,商品!$A$2:$E$1753,2,FALSE))</f>
        <v>PMZ-2001-1</v>
      </c>
      <c r="AE138" s="626"/>
      <c r="AF138" s="627"/>
      <c r="AG138" s="15"/>
      <c r="AH138" s="15"/>
      <c r="AI138" s="15"/>
      <c r="AJ138" s="16"/>
    </row>
    <row r="139" spans="2:36" ht="15.6" x14ac:dyDescent="0.15">
      <c r="B139" s="349">
        <v>5</v>
      </c>
      <c r="C139" s="350"/>
      <c r="D139" s="351" t="str">
        <f>旧貼付用!B10</f>
        <v>PMZ-2001-2</v>
      </c>
      <c r="E139" s="352"/>
      <c r="F139" s="352"/>
      <c r="G139" s="353"/>
      <c r="H139" s="632" t="str">
        <f>IF(D139=0,"",VLOOKUP(D139,商品!A2:E1753,3,FALSE))</f>
        <v>ドライロングスリーブTシャツ(左or右袖ロゴ付き)</v>
      </c>
      <c r="I139" s="633"/>
      <c r="J139" s="633"/>
      <c r="K139" s="633"/>
      <c r="L139" s="633"/>
      <c r="M139" s="633"/>
      <c r="N139" s="633"/>
      <c r="O139" s="633"/>
      <c r="P139" s="633"/>
      <c r="Q139" s="633"/>
      <c r="R139" s="633"/>
      <c r="S139" s="634"/>
      <c r="T139" s="632" t="str">
        <f>IF(D139=0,"",旧貼付用!C10)</f>
        <v>右袖_本体BLK×ロゴRED</v>
      </c>
      <c r="U139" s="633"/>
      <c r="V139" s="633"/>
      <c r="W139" s="646"/>
      <c r="X139" s="36"/>
      <c r="Y139" s="345" t="str">
        <f>IF(D139=0,"",旧貼付用!D10)</f>
        <v>3XL</v>
      </c>
      <c r="Z139" s="346"/>
      <c r="AA139" s="20">
        <f>IF(D139=0,"",旧貼付用!E10)</f>
        <v>2</v>
      </c>
      <c r="AB139" s="29"/>
      <c r="AC139" s="15"/>
      <c r="AD139" s="625" t="str">
        <f>IF(D139=0,"",VLOOKUP(D139,商品!$A$2:$E$1753,2,FALSE))</f>
        <v>PMZ-2001-2</v>
      </c>
      <c r="AE139" s="626"/>
      <c r="AF139" s="627"/>
      <c r="AG139" s="15"/>
      <c r="AH139" s="15"/>
      <c r="AI139" s="15"/>
      <c r="AJ139" s="16"/>
    </row>
    <row r="140" spans="2:36" ht="15.6" x14ac:dyDescent="0.15">
      <c r="B140" s="349">
        <v>6</v>
      </c>
      <c r="C140" s="350"/>
      <c r="D140" s="351" t="str">
        <f>旧貼付用!B11</f>
        <v>PMZ-2001-3</v>
      </c>
      <c r="E140" s="352"/>
      <c r="F140" s="352"/>
      <c r="G140" s="353"/>
      <c r="H140" s="632" t="str">
        <f>IF(D140=0,"",VLOOKUP(D140,商品!A2:E1753,3,FALSE))</f>
        <v>ドライロングスリーブTシャツ(背中襟下ロゴ付き)</v>
      </c>
      <c r="I140" s="633"/>
      <c r="J140" s="633"/>
      <c r="K140" s="633"/>
      <c r="L140" s="633"/>
      <c r="M140" s="633"/>
      <c r="N140" s="633"/>
      <c r="O140" s="633"/>
      <c r="P140" s="633"/>
      <c r="Q140" s="633"/>
      <c r="R140" s="633"/>
      <c r="S140" s="634"/>
      <c r="T140" s="632" t="str">
        <f>IF(D140=0,"",旧貼付用!C11)</f>
        <v>背中襟下_本体BLK×ロゴWHT</v>
      </c>
      <c r="U140" s="633"/>
      <c r="V140" s="633"/>
      <c r="W140" s="646"/>
      <c r="X140" s="36"/>
      <c r="Y140" s="345" t="str">
        <f>IF(D140=0,"",旧貼付用!D11)</f>
        <v>M</v>
      </c>
      <c r="Z140" s="346"/>
      <c r="AA140" s="20">
        <f>IF(D140=0,"",旧貼付用!E11)</f>
        <v>5</v>
      </c>
      <c r="AB140" s="29"/>
      <c r="AC140" s="15"/>
      <c r="AD140" s="625" t="str">
        <f>IF(D140=0,"",VLOOKUP(D140,商品!$A$2:$E$1753,2,FALSE))</f>
        <v>PMZ-2001-3</v>
      </c>
      <c r="AE140" s="626"/>
      <c r="AF140" s="627"/>
      <c r="AG140" s="15"/>
      <c r="AH140" s="15"/>
      <c r="AI140" s="15"/>
      <c r="AJ140" s="16"/>
    </row>
    <row r="141" spans="2:36" ht="15.6" x14ac:dyDescent="0.15">
      <c r="B141" s="349">
        <v>7</v>
      </c>
      <c r="C141" s="350"/>
      <c r="D141" s="351" t="str">
        <f>旧貼付用!B12</f>
        <v>PMZ-3001-1</v>
      </c>
      <c r="E141" s="352"/>
      <c r="F141" s="352"/>
      <c r="G141" s="353"/>
      <c r="H141" s="632" t="str">
        <f>IF(D141=0,"",VLOOKUP(D141,商品!A2:E1753,3,FALSE))</f>
        <v>ボタンダウンポロシャツ(左or右胸ロゴ付き)</v>
      </c>
      <c r="I141" s="633"/>
      <c r="J141" s="633"/>
      <c r="K141" s="633"/>
      <c r="L141" s="633"/>
      <c r="M141" s="633"/>
      <c r="N141" s="633"/>
      <c r="O141" s="633"/>
      <c r="P141" s="633"/>
      <c r="Q141" s="633"/>
      <c r="R141" s="633"/>
      <c r="S141" s="634"/>
      <c r="T141" s="632" t="str">
        <f>IF(D141=0,"",旧貼付用!C12)</f>
        <v>左胸_本体YEL×ロゴYEL</v>
      </c>
      <c r="U141" s="633"/>
      <c r="V141" s="633"/>
      <c r="W141" s="646"/>
      <c r="X141" s="36"/>
      <c r="Y141" s="345" t="str">
        <f>IF(D141=0,"",旧貼付用!D12)</f>
        <v>XL</v>
      </c>
      <c r="Z141" s="346"/>
      <c r="AA141" s="20">
        <f>IF(D141=0,"",旧貼付用!E12)</f>
        <v>1</v>
      </c>
      <c r="AB141" s="29"/>
      <c r="AC141" s="15"/>
      <c r="AD141" s="625" t="str">
        <f>IF(D141=0,"",VLOOKUP(D141,商品!$A$2:$E$1753,2,FALSE))</f>
        <v>PMZ-3001-1</v>
      </c>
      <c r="AE141" s="626"/>
      <c r="AF141" s="627"/>
      <c r="AG141" s="15"/>
      <c r="AH141" s="15"/>
      <c r="AI141" s="15"/>
      <c r="AJ141" s="16"/>
    </row>
    <row r="142" spans="2:36" ht="15.6" x14ac:dyDescent="0.15">
      <c r="B142" s="349">
        <v>8</v>
      </c>
      <c r="C142" s="350"/>
      <c r="D142" s="351" t="str">
        <f>旧貼付用!B13</f>
        <v>PMZ-3001-2</v>
      </c>
      <c r="E142" s="352"/>
      <c r="F142" s="352"/>
      <c r="G142" s="353"/>
      <c r="H142" s="632" t="str">
        <f>IF(D142=0,"",VLOOKUP(D142,商品!A2:E1753,3,FALSE))</f>
        <v>ボタンダウンポロシャツ(左or右袖ロゴ付き)</v>
      </c>
      <c r="I142" s="633"/>
      <c r="J142" s="633"/>
      <c r="K142" s="633"/>
      <c r="L142" s="633"/>
      <c r="M142" s="633"/>
      <c r="N142" s="633"/>
      <c r="O142" s="633"/>
      <c r="P142" s="633"/>
      <c r="Q142" s="633"/>
      <c r="R142" s="633"/>
      <c r="S142" s="634"/>
      <c r="T142" s="632" t="str">
        <f>IF(D142=0,"",旧貼付用!C13)</f>
        <v>右袖_本体BLK×ロゴORG</v>
      </c>
      <c r="U142" s="633"/>
      <c r="V142" s="633"/>
      <c r="W142" s="646"/>
      <c r="X142" s="36"/>
      <c r="Y142" s="345" t="str">
        <f>IF(D142=0,"",旧貼付用!D13)</f>
        <v>S</v>
      </c>
      <c r="Z142" s="346"/>
      <c r="AA142" s="20">
        <f>IF(D142=0,"",旧貼付用!E13)</f>
        <v>2</v>
      </c>
      <c r="AB142" s="29"/>
      <c r="AC142" s="15"/>
      <c r="AD142" s="625" t="str">
        <f>IF(D142=0,"",VLOOKUP(D142,商品!$A$2:$E$1753,2,FALSE))</f>
        <v>PMZ-3001-2</v>
      </c>
      <c r="AE142" s="626"/>
      <c r="AF142" s="627"/>
      <c r="AG142" s="15"/>
      <c r="AH142" s="15"/>
      <c r="AI142" s="15"/>
      <c r="AJ142" s="16"/>
    </row>
    <row r="143" spans="2:36" ht="15.6" x14ac:dyDescent="0.15">
      <c r="B143" s="630">
        <v>9</v>
      </c>
      <c r="C143" s="631"/>
      <c r="D143" s="351" t="str">
        <f>旧貼付用!B14</f>
        <v>PMZ-3001-3</v>
      </c>
      <c r="E143" s="352"/>
      <c r="F143" s="352"/>
      <c r="G143" s="353"/>
      <c r="H143" s="632" t="str">
        <f>IF(D143=0,"",VLOOKUP(D143,商品!A2:E1753,3,FALSE))</f>
        <v>ボタンダウンポロシャツ(背中襟下ロゴ付き)</v>
      </c>
      <c r="I143" s="633"/>
      <c r="J143" s="633"/>
      <c r="K143" s="633"/>
      <c r="L143" s="633"/>
      <c r="M143" s="633"/>
      <c r="N143" s="633"/>
      <c r="O143" s="633"/>
      <c r="P143" s="633"/>
      <c r="Q143" s="633"/>
      <c r="R143" s="633"/>
      <c r="S143" s="634"/>
      <c r="T143" s="632" t="str">
        <f>IF(D143=0,"",旧貼付用!C14)</f>
        <v>背中襟下_本体NVY×ロゴHtPNK</v>
      </c>
      <c r="U143" s="633"/>
      <c r="V143" s="633"/>
      <c r="W143" s="646"/>
      <c r="X143" s="36"/>
      <c r="Y143" s="345" t="str">
        <f>IF(D143=0,"",旧貼付用!D14)</f>
        <v>XS</v>
      </c>
      <c r="Z143" s="346"/>
      <c r="AA143" s="20">
        <f>IF(D143=0,"",旧貼付用!E14)</f>
        <v>3</v>
      </c>
      <c r="AB143" s="29"/>
      <c r="AC143" s="15"/>
      <c r="AD143" s="625" t="str">
        <f>IF(D143=0,"",VLOOKUP(D143,商品!$A$2:$E$1753,2,FALSE))</f>
        <v>PMZ-3001-3</v>
      </c>
      <c r="AE143" s="626"/>
      <c r="AF143" s="627"/>
      <c r="AG143" s="15"/>
      <c r="AH143" s="15"/>
      <c r="AI143" s="15"/>
      <c r="AJ143" s="16"/>
    </row>
    <row r="144" spans="2:36" ht="15.6" x14ac:dyDescent="0.15">
      <c r="B144" s="630">
        <v>10</v>
      </c>
      <c r="C144" s="631"/>
      <c r="D144" s="351">
        <f>旧貼付用!B15</f>
        <v>0</v>
      </c>
      <c r="E144" s="352"/>
      <c r="F144" s="352"/>
      <c r="G144" s="353"/>
      <c r="H144" s="632" t="str">
        <f>IF(D144=0,"",VLOOKUP(D144,商品!A2:E1753,3,FALSE))</f>
        <v/>
      </c>
      <c r="I144" s="633"/>
      <c r="J144" s="633"/>
      <c r="K144" s="633"/>
      <c r="L144" s="633"/>
      <c r="M144" s="633"/>
      <c r="N144" s="633"/>
      <c r="O144" s="633"/>
      <c r="P144" s="633"/>
      <c r="Q144" s="633"/>
      <c r="R144" s="633"/>
      <c r="S144" s="634"/>
      <c r="T144" s="632" t="str">
        <f>IF(D144=0,"",旧貼付用!C15)</f>
        <v/>
      </c>
      <c r="U144" s="633"/>
      <c r="V144" s="633"/>
      <c r="W144" s="646"/>
      <c r="X144" s="36"/>
      <c r="Y144" s="345" t="str">
        <f>IF(D144=0,"",旧貼付用!D15)</f>
        <v/>
      </c>
      <c r="Z144" s="346"/>
      <c r="AA144" s="20" t="str">
        <f>IF(D144=0,"",旧貼付用!E15)</f>
        <v/>
      </c>
      <c r="AB144" s="29"/>
      <c r="AC144" s="15"/>
      <c r="AD144" s="625" t="str">
        <f>IF(D144=0,"",VLOOKUP(D144,商品!$A$2:$E$1753,2,FALSE))</f>
        <v/>
      </c>
      <c r="AE144" s="626"/>
      <c r="AF144" s="627"/>
      <c r="AG144" s="15"/>
      <c r="AH144" s="15"/>
      <c r="AI144" s="15"/>
      <c r="AJ144" s="16"/>
    </row>
    <row r="145" spans="1:46" ht="15.6" x14ac:dyDescent="0.15">
      <c r="B145" s="630">
        <v>11</v>
      </c>
      <c r="C145" s="631"/>
      <c r="D145" s="351">
        <f>旧貼付用!B16</f>
        <v>0</v>
      </c>
      <c r="E145" s="352"/>
      <c r="F145" s="352"/>
      <c r="G145" s="353"/>
      <c r="H145" s="632" t="str">
        <f>IF(D145=0,"",VLOOKUP(D145,商品!A2:E1753,3,FALSE))</f>
        <v/>
      </c>
      <c r="I145" s="633"/>
      <c r="J145" s="633"/>
      <c r="K145" s="633"/>
      <c r="L145" s="633"/>
      <c r="M145" s="633"/>
      <c r="N145" s="633"/>
      <c r="O145" s="633"/>
      <c r="P145" s="633"/>
      <c r="Q145" s="633"/>
      <c r="R145" s="633"/>
      <c r="S145" s="634"/>
      <c r="T145" s="632" t="str">
        <f>IF(D145=0,"",旧貼付用!C16)</f>
        <v/>
      </c>
      <c r="U145" s="633"/>
      <c r="V145" s="633"/>
      <c r="W145" s="646"/>
      <c r="X145" s="36"/>
      <c r="Y145" s="345" t="str">
        <f>IF(D145=0,"",旧貼付用!D16)</f>
        <v/>
      </c>
      <c r="Z145" s="346"/>
      <c r="AA145" s="20" t="str">
        <f>IF(D145=0,"",旧貼付用!E16)</f>
        <v/>
      </c>
      <c r="AB145" s="29"/>
      <c r="AC145" s="15"/>
      <c r="AD145" s="625" t="str">
        <f>IF(D145=0,"",VLOOKUP(D145,商品!$A$2:$E$1753,2,FALSE))</f>
        <v/>
      </c>
      <c r="AE145" s="626"/>
      <c r="AF145" s="627"/>
      <c r="AG145" s="15"/>
      <c r="AH145" s="15"/>
      <c r="AI145" s="15"/>
      <c r="AJ145" s="16"/>
    </row>
    <row r="146" spans="1:46" ht="15.6" x14ac:dyDescent="0.15">
      <c r="B146" s="630">
        <v>12</v>
      </c>
      <c r="C146" s="631"/>
      <c r="D146" s="351">
        <f>旧貼付用!B17</f>
        <v>0</v>
      </c>
      <c r="E146" s="352"/>
      <c r="F146" s="352"/>
      <c r="G146" s="353"/>
      <c r="H146" s="632" t="str">
        <f>IF(D146=0,"",VLOOKUP(D146,商品!A2:E1753,3,FALSE))</f>
        <v/>
      </c>
      <c r="I146" s="633"/>
      <c r="J146" s="633"/>
      <c r="K146" s="633"/>
      <c r="L146" s="633"/>
      <c r="M146" s="633"/>
      <c r="N146" s="633"/>
      <c r="O146" s="633"/>
      <c r="P146" s="633"/>
      <c r="Q146" s="633"/>
      <c r="R146" s="633"/>
      <c r="S146" s="634"/>
      <c r="T146" s="632" t="str">
        <f>IF(D146=0,"",旧貼付用!C17)</f>
        <v/>
      </c>
      <c r="U146" s="633"/>
      <c r="V146" s="633"/>
      <c r="W146" s="646"/>
      <c r="X146" s="36"/>
      <c r="Y146" s="345" t="str">
        <f>IF(D146=0,"",旧貼付用!D17)</f>
        <v/>
      </c>
      <c r="Z146" s="346"/>
      <c r="AA146" s="20" t="str">
        <f>IF(D146=0,"",旧貼付用!E17)</f>
        <v/>
      </c>
      <c r="AB146" s="29"/>
      <c r="AC146" s="15"/>
      <c r="AD146" s="625" t="str">
        <f>IF(D146=0,"",VLOOKUP(D146,商品!$A$2:$E$1753,2,FALSE))</f>
        <v/>
      </c>
      <c r="AE146" s="626"/>
      <c r="AF146" s="627"/>
      <c r="AG146" s="15"/>
      <c r="AH146" s="15"/>
      <c r="AI146" s="15"/>
      <c r="AJ146" s="16"/>
    </row>
    <row r="147" spans="1:46" ht="15.6" x14ac:dyDescent="0.15">
      <c r="B147" s="630">
        <v>13</v>
      </c>
      <c r="C147" s="631"/>
      <c r="D147" s="351">
        <f>旧貼付用!B18</f>
        <v>0</v>
      </c>
      <c r="E147" s="352"/>
      <c r="F147" s="352"/>
      <c r="G147" s="353"/>
      <c r="H147" s="632" t="str">
        <f>IF(D147=0,"",VLOOKUP(D147,商品!A2:E1753,3,FALSE))</f>
        <v/>
      </c>
      <c r="I147" s="633"/>
      <c r="J147" s="633"/>
      <c r="K147" s="633"/>
      <c r="L147" s="633"/>
      <c r="M147" s="633"/>
      <c r="N147" s="633"/>
      <c r="O147" s="633"/>
      <c r="P147" s="633"/>
      <c r="Q147" s="633"/>
      <c r="R147" s="633"/>
      <c r="S147" s="634"/>
      <c r="T147" s="632" t="str">
        <f>IF(D147=0,"",旧貼付用!C18)</f>
        <v/>
      </c>
      <c r="U147" s="633"/>
      <c r="V147" s="633"/>
      <c r="W147" s="646"/>
      <c r="X147" s="36"/>
      <c r="Y147" s="345" t="str">
        <f>IF(D147=0,"",旧貼付用!D18)</f>
        <v/>
      </c>
      <c r="Z147" s="346"/>
      <c r="AA147" s="20" t="str">
        <f>IF(D147=0,"",旧貼付用!E18)</f>
        <v/>
      </c>
      <c r="AB147" s="29"/>
      <c r="AC147" s="15"/>
      <c r="AD147" s="625" t="str">
        <f>IF(D147=0,"",VLOOKUP(D147,商品!$A$2:$E$1753,2,FALSE))</f>
        <v/>
      </c>
      <c r="AE147" s="626"/>
      <c r="AF147" s="627"/>
      <c r="AG147" s="15"/>
      <c r="AH147" s="15"/>
      <c r="AI147" s="15"/>
      <c r="AJ147" s="16"/>
    </row>
    <row r="148" spans="1:46" ht="15.6" x14ac:dyDescent="0.15">
      <c r="B148" s="630">
        <v>14</v>
      </c>
      <c r="C148" s="631"/>
      <c r="D148" s="351">
        <f>旧貼付用!B19</f>
        <v>0</v>
      </c>
      <c r="E148" s="352"/>
      <c r="F148" s="352"/>
      <c r="G148" s="353"/>
      <c r="H148" s="632" t="str">
        <f>IF(D148=0,"",VLOOKUP(D148,商品!A2:E1753,3,FALSE))</f>
        <v/>
      </c>
      <c r="I148" s="633"/>
      <c r="J148" s="633"/>
      <c r="K148" s="633"/>
      <c r="L148" s="633"/>
      <c r="M148" s="633"/>
      <c r="N148" s="633"/>
      <c r="O148" s="633"/>
      <c r="P148" s="633"/>
      <c r="Q148" s="633"/>
      <c r="R148" s="633"/>
      <c r="S148" s="634"/>
      <c r="T148" s="632" t="str">
        <f>IF(D148=0,"",旧貼付用!C19)</f>
        <v/>
      </c>
      <c r="U148" s="633"/>
      <c r="V148" s="633"/>
      <c r="W148" s="646"/>
      <c r="X148" s="36"/>
      <c r="Y148" s="345" t="str">
        <f>IF(D148=0,"",旧貼付用!D19)</f>
        <v/>
      </c>
      <c r="Z148" s="346"/>
      <c r="AA148" s="20" t="str">
        <f>IF(D148=0,"",旧貼付用!E19)</f>
        <v/>
      </c>
      <c r="AB148" s="29"/>
      <c r="AC148" s="15"/>
      <c r="AD148" s="625" t="str">
        <f>IF(D148=0,"",VLOOKUP(D148,商品!$A$2:$E$1753,2,FALSE))</f>
        <v/>
      </c>
      <c r="AE148" s="626"/>
      <c r="AF148" s="627"/>
      <c r="AG148" s="15"/>
      <c r="AH148" s="15"/>
      <c r="AI148" s="15"/>
      <c r="AJ148" s="16"/>
    </row>
    <row r="149" spans="1:46" ht="15.6" x14ac:dyDescent="0.15">
      <c r="B149" s="630">
        <v>15</v>
      </c>
      <c r="C149" s="631"/>
      <c r="D149" s="351">
        <f>旧貼付用!B20</f>
        <v>0</v>
      </c>
      <c r="E149" s="352"/>
      <c r="F149" s="352"/>
      <c r="G149" s="353"/>
      <c r="H149" s="632" t="str">
        <f>IF(D149=0,"",VLOOKUP(D149,商品!A2:E1753,3,FALSE))</f>
        <v/>
      </c>
      <c r="I149" s="633"/>
      <c r="J149" s="633"/>
      <c r="K149" s="633"/>
      <c r="L149" s="633"/>
      <c r="M149" s="633"/>
      <c r="N149" s="633"/>
      <c r="O149" s="633"/>
      <c r="P149" s="633"/>
      <c r="Q149" s="633"/>
      <c r="R149" s="633"/>
      <c r="S149" s="634"/>
      <c r="T149" s="632" t="str">
        <f>IF(D149=0,"",旧貼付用!C20)</f>
        <v/>
      </c>
      <c r="U149" s="633"/>
      <c r="V149" s="633"/>
      <c r="W149" s="646"/>
      <c r="X149" s="36"/>
      <c r="Y149" s="345" t="str">
        <f>IF(D149=0,"",旧貼付用!D20)</f>
        <v/>
      </c>
      <c r="Z149" s="346"/>
      <c r="AA149" s="20" t="str">
        <f>IF(D149=0,"",旧貼付用!E20)</f>
        <v/>
      </c>
      <c r="AB149" s="29"/>
      <c r="AC149" s="15"/>
      <c r="AD149" s="625" t="str">
        <f>IF(D149=0,"",VLOOKUP(D149,商品!$A$2:$E$1753,2,FALSE))</f>
        <v/>
      </c>
      <c r="AE149" s="626"/>
      <c r="AF149" s="627"/>
      <c r="AG149" s="15"/>
      <c r="AH149" s="15"/>
      <c r="AI149" s="15"/>
      <c r="AJ149" s="16"/>
    </row>
    <row r="150" spans="1:46" ht="15.6" x14ac:dyDescent="0.15">
      <c r="B150" s="630">
        <v>16</v>
      </c>
      <c r="C150" s="631"/>
      <c r="D150" s="351">
        <f>旧貼付用!B21</f>
        <v>0</v>
      </c>
      <c r="E150" s="352"/>
      <c r="F150" s="352"/>
      <c r="G150" s="353"/>
      <c r="H150" s="632" t="str">
        <f>IF(D150=0,"",VLOOKUP(D150,商品!A2:E1753,3,FALSE))</f>
        <v/>
      </c>
      <c r="I150" s="633"/>
      <c r="J150" s="633"/>
      <c r="K150" s="633"/>
      <c r="L150" s="633"/>
      <c r="M150" s="633"/>
      <c r="N150" s="633"/>
      <c r="O150" s="633"/>
      <c r="P150" s="633"/>
      <c r="Q150" s="633"/>
      <c r="R150" s="633"/>
      <c r="S150" s="634"/>
      <c r="T150" s="632" t="str">
        <f>IF(D150=0,"",旧貼付用!C21)</f>
        <v/>
      </c>
      <c r="U150" s="633"/>
      <c r="V150" s="633"/>
      <c r="W150" s="646"/>
      <c r="X150" s="36"/>
      <c r="Y150" s="345" t="str">
        <f>IF(D150=0,"",旧貼付用!D21)</f>
        <v/>
      </c>
      <c r="Z150" s="346"/>
      <c r="AA150" s="20" t="str">
        <f>IF(D150=0,"",旧貼付用!E21)</f>
        <v/>
      </c>
      <c r="AB150" s="29"/>
      <c r="AC150" s="15"/>
      <c r="AD150" s="625" t="str">
        <f>IF(D150=0,"",VLOOKUP(D150,商品!$A$2:$E$1753,2,FALSE))</f>
        <v/>
      </c>
      <c r="AE150" s="626"/>
      <c r="AF150" s="627"/>
      <c r="AG150" s="15"/>
      <c r="AH150" s="15"/>
      <c r="AI150" s="15"/>
      <c r="AJ150" s="16"/>
    </row>
    <row r="151" spans="1:46" ht="15.6" x14ac:dyDescent="0.15">
      <c r="B151" s="630">
        <v>17</v>
      </c>
      <c r="C151" s="631"/>
      <c r="D151" s="351">
        <f>旧貼付用!B22</f>
        <v>0</v>
      </c>
      <c r="E151" s="352"/>
      <c r="F151" s="352"/>
      <c r="G151" s="353"/>
      <c r="H151" s="632" t="str">
        <f>IF(D151=0,"",VLOOKUP(D151,商品!A2:E1753,3,FALSE))</f>
        <v/>
      </c>
      <c r="I151" s="633"/>
      <c r="J151" s="633"/>
      <c r="K151" s="633"/>
      <c r="L151" s="633"/>
      <c r="M151" s="633"/>
      <c r="N151" s="633"/>
      <c r="O151" s="633"/>
      <c r="P151" s="633"/>
      <c r="Q151" s="633"/>
      <c r="R151" s="633"/>
      <c r="S151" s="634"/>
      <c r="T151" s="632" t="str">
        <f>IF(D151=0,"",旧貼付用!C22)</f>
        <v/>
      </c>
      <c r="U151" s="633"/>
      <c r="V151" s="633"/>
      <c r="W151" s="646"/>
      <c r="X151" s="36"/>
      <c r="Y151" s="345" t="str">
        <f>IF(D151=0,"",旧貼付用!D22)</f>
        <v/>
      </c>
      <c r="Z151" s="346"/>
      <c r="AA151" s="20" t="str">
        <f>IF(D151=0,"",旧貼付用!E22)</f>
        <v/>
      </c>
      <c r="AB151" s="29"/>
      <c r="AC151" s="15"/>
      <c r="AD151" s="625" t="str">
        <f>IF(D151=0,"",VLOOKUP(D151,商品!$A$2:$E$1753,2,FALSE))</f>
        <v/>
      </c>
      <c r="AE151" s="626"/>
      <c r="AF151" s="627"/>
      <c r="AG151" s="15"/>
      <c r="AH151" s="15"/>
      <c r="AI151" s="15"/>
      <c r="AJ151" s="16"/>
    </row>
    <row r="152" spans="1:46" ht="15.6" x14ac:dyDescent="0.15">
      <c r="B152" s="630">
        <v>18</v>
      </c>
      <c r="C152" s="631"/>
      <c r="D152" s="351">
        <f>旧貼付用!B23</f>
        <v>0</v>
      </c>
      <c r="E152" s="352"/>
      <c r="F152" s="352"/>
      <c r="G152" s="353"/>
      <c r="H152" s="632" t="str">
        <f>IF(D152=0,"",VLOOKUP(D152,商品!A2:E1753,3,FALSE))</f>
        <v/>
      </c>
      <c r="I152" s="633"/>
      <c r="J152" s="633"/>
      <c r="K152" s="633"/>
      <c r="L152" s="633"/>
      <c r="M152" s="633"/>
      <c r="N152" s="633"/>
      <c r="O152" s="633"/>
      <c r="P152" s="633"/>
      <c r="Q152" s="633"/>
      <c r="R152" s="633"/>
      <c r="S152" s="634"/>
      <c r="T152" s="632" t="str">
        <f>IF(D152=0,"",旧貼付用!C23)</f>
        <v/>
      </c>
      <c r="U152" s="633"/>
      <c r="V152" s="633"/>
      <c r="W152" s="646"/>
      <c r="X152" s="36"/>
      <c r="Y152" s="345" t="str">
        <f>IF(D152=0,"",旧貼付用!D23)</f>
        <v/>
      </c>
      <c r="Z152" s="346"/>
      <c r="AA152" s="20" t="str">
        <f>IF(D152=0,"",旧貼付用!E23)</f>
        <v/>
      </c>
      <c r="AB152" s="29"/>
      <c r="AC152" s="15"/>
      <c r="AD152" s="625" t="str">
        <f>IF(D152=0,"",VLOOKUP(D152,商品!$A$2:$E$1753,2,FALSE))</f>
        <v/>
      </c>
      <c r="AE152" s="626"/>
      <c r="AF152" s="627"/>
      <c r="AG152" s="15"/>
      <c r="AH152" s="15"/>
      <c r="AI152" s="15"/>
      <c r="AJ152" s="16"/>
    </row>
    <row r="153" spans="1:46" ht="15.6" x14ac:dyDescent="0.15">
      <c r="B153" s="630">
        <v>19</v>
      </c>
      <c r="C153" s="631"/>
      <c r="D153" s="351">
        <f>旧貼付用!B24</f>
        <v>0</v>
      </c>
      <c r="E153" s="352"/>
      <c r="F153" s="352"/>
      <c r="G153" s="353"/>
      <c r="H153" s="632" t="str">
        <f>IF(D153=0,"",VLOOKUP(D153,商品!A2:E1753,3,FALSE))</f>
        <v/>
      </c>
      <c r="I153" s="633"/>
      <c r="J153" s="633"/>
      <c r="K153" s="633"/>
      <c r="L153" s="633"/>
      <c r="M153" s="633"/>
      <c r="N153" s="633"/>
      <c r="O153" s="633"/>
      <c r="P153" s="633"/>
      <c r="Q153" s="633"/>
      <c r="R153" s="633"/>
      <c r="S153" s="634"/>
      <c r="T153" s="632" t="str">
        <f>IF(D153=0,"",旧貼付用!C24)</f>
        <v/>
      </c>
      <c r="U153" s="633"/>
      <c r="V153" s="633"/>
      <c r="W153" s="646"/>
      <c r="X153" s="36"/>
      <c r="Y153" s="345" t="str">
        <f>IF(D153=0,"",旧貼付用!D24)</f>
        <v/>
      </c>
      <c r="Z153" s="346"/>
      <c r="AA153" s="20" t="str">
        <f>IF(D153=0,"",旧貼付用!E24)</f>
        <v/>
      </c>
      <c r="AB153" s="29"/>
      <c r="AC153" s="15"/>
      <c r="AD153" s="625" t="str">
        <f>IF(D153=0,"",VLOOKUP(D153,商品!$A$2:$E$1753,2,FALSE))</f>
        <v/>
      </c>
      <c r="AE153" s="626"/>
      <c r="AF153" s="627"/>
      <c r="AG153" s="15"/>
      <c r="AH153" s="15"/>
      <c r="AI153" s="15"/>
      <c r="AJ153" s="16"/>
    </row>
    <row r="154" spans="1:46" ht="16.2" thickBot="1" x14ac:dyDescent="0.2">
      <c r="B154" s="616">
        <v>20</v>
      </c>
      <c r="C154" s="617"/>
      <c r="D154" s="372">
        <f>旧貼付用!B25</f>
        <v>0</v>
      </c>
      <c r="E154" s="373"/>
      <c r="F154" s="373"/>
      <c r="G154" s="374"/>
      <c r="H154" s="618" t="str">
        <f>IF(D154=0,"",VLOOKUP(D154,商品!A2:E1753,3,FALSE))</f>
        <v/>
      </c>
      <c r="I154" s="619"/>
      <c r="J154" s="619"/>
      <c r="K154" s="619"/>
      <c r="L154" s="619"/>
      <c r="M154" s="619"/>
      <c r="N154" s="619"/>
      <c r="O154" s="619"/>
      <c r="P154" s="619"/>
      <c r="Q154" s="619"/>
      <c r="R154" s="619"/>
      <c r="S154" s="620"/>
      <c r="T154" s="618" t="str">
        <f>IF(D154=0,"",旧貼付用!C25)</f>
        <v/>
      </c>
      <c r="U154" s="619"/>
      <c r="V154" s="619"/>
      <c r="W154" s="647"/>
      <c r="X154" s="37"/>
      <c r="Y154" s="381" t="str">
        <f>IF(D154=0,"",旧貼付用!D25)</f>
        <v/>
      </c>
      <c r="Z154" s="382"/>
      <c r="AA154" s="21" t="str">
        <f>IF(D154=0,"",旧貼付用!E25)</f>
        <v/>
      </c>
      <c r="AB154" s="29"/>
      <c r="AC154" s="15"/>
      <c r="AD154" s="625" t="str">
        <f>IF(D154=0,"",VLOOKUP(D154,商品!$A$2:$E$1753,2,FALSE))</f>
        <v/>
      </c>
      <c r="AE154" s="626"/>
      <c r="AF154" s="627"/>
      <c r="AG154" s="15"/>
      <c r="AH154" s="15"/>
      <c r="AI154" s="15"/>
      <c r="AJ154" s="16"/>
    </row>
    <row r="155" spans="1:46" ht="14.4" x14ac:dyDescent="0.2">
      <c r="B155" s="15"/>
      <c r="C155" s="15"/>
      <c r="D155" s="15"/>
      <c r="E155" s="15"/>
      <c r="F155" s="15"/>
      <c r="G155" s="15"/>
      <c r="H155" s="15"/>
      <c r="I155" s="15"/>
      <c r="J155" s="15"/>
      <c r="K155" s="15"/>
      <c r="L155" s="15"/>
      <c r="M155" s="15"/>
      <c r="N155" s="15"/>
      <c r="O155" s="15"/>
      <c r="P155" s="15"/>
      <c r="Q155" s="15"/>
      <c r="R155" s="15"/>
      <c r="S155" s="15"/>
      <c r="T155" s="15"/>
      <c r="U155" s="15"/>
      <c r="V155" s="15"/>
      <c r="W155" s="15"/>
      <c r="X155" s="15"/>
      <c r="Y155" s="15"/>
      <c r="Z155" s="15"/>
      <c r="AA155" s="15"/>
      <c r="AB155" s="15"/>
      <c r="AC155" s="15"/>
      <c r="AD155" s="15"/>
      <c r="AE155" s="15"/>
      <c r="AF155" s="15"/>
      <c r="AG155" s="15"/>
    </row>
    <row r="157" spans="1:46" ht="15" customHeight="1" x14ac:dyDescent="0.2">
      <c r="A157" s="100" t="s">
        <v>3724</v>
      </c>
      <c r="B157" s="100"/>
      <c r="C157" s="100"/>
      <c r="D157" s="100"/>
      <c r="E157" s="100"/>
      <c r="F157" s="100"/>
      <c r="G157" s="100"/>
      <c r="H157" s="100"/>
      <c r="I157" s="100"/>
      <c r="J157" s="100"/>
      <c r="K157" s="100"/>
      <c r="L157" s="100"/>
      <c r="M157" s="100"/>
      <c r="N157" s="100"/>
      <c r="O157" s="100"/>
      <c r="P157" s="100"/>
      <c r="Q157" s="100"/>
      <c r="R157" s="100"/>
      <c r="S157" s="100"/>
      <c r="T157" s="100"/>
      <c r="U157" s="100"/>
      <c r="V157" s="100"/>
      <c r="W157" s="100"/>
      <c r="X157" s="100"/>
      <c r="Y157" s="100"/>
      <c r="Z157" s="100"/>
      <c r="AA157" s="100"/>
      <c r="AB157" s="100"/>
      <c r="AC157" s="100"/>
      <c r="AD157" s="100"/>
      <c r="AE157" s="100"/>
      <c r="AF157" s="100"/>
      <c r="AG157" s="100"/>
      <c r="AH157" s="100"/>
    </row>
    <row r="159" spans="1:46" ht="15" customHeight="1" thickBot="1" x14ac:dyDescent="0.25"/>
    <row r="160" spans="1:46" ht="14.4" x14ac:dyDescent="0.2">
      <c r="B160" s="635" t="s">
        <v>3130</v>
      </c>
      <c r="C160" s="636"/>
      <c r="D160" s="636"/>
      <c r="E160" s="636"/>
      <c r="F160" s="636"/>
      <c r="G160" s="636"/>
      <c r="H160" s="636" t="s">
        <v>3131</v>
      </c>
      <c r="I160" s="636"/>
      <c r="J160" s="636"/>
      <c r="K160" s="636"/>
      <c r="L160" s="636"/>
      <c r="M160" s="636"/>
      <c r="N160" s="636"/>
      <c r="O160" s="636"/>
      <c r="P160" s="636"/>
      <c r="Q160" s="636"/>
      <c r="R160" s="636"/>
      <c r="S160" s="636"/>
      <c r="T160" s="644" t="s">
        <v>3725</v>
      </c>
      <c r="U160" s="642"/>
      <c r="V160" s="645"/>
      <c r="W160" s="644" t="s">
        <v>3728</v>
      </c>
      <c r="X160" s="642"/>
      <c r="Y160" s="642"/>
      <c r="Z160" s="641" t="s">
        <v>3726</v>
      </c>
      <c r="AA160" s="642"/>
      <c r="AB160" s="642"/>
      <c r="AC160" s="643"/>
      <c r="AD160" s="101" t="s">
        <v>3759</v>
      </c>
      <c r="AE160" s="102"/>
      <c r="AF160" s="102"/>
      <c r="AG160" s="102"/>
      <c r="AH160" s="102"/>
      <c r="AI160" s="102" t="s">
        <v>3760</v>
      </c>
      <c r="AJ160" s="102"/>
      <c r="AK160" s="28" t="s">
        <v>1575</v>
      </c>
      <c r="AL160" s="30"/>
      <c r="AM160" s="15"/>
      <c r="AN160" s="637"/>
      <c r="AO160" s="637"/>
      <c r="AP160" s="637"/>
      <c r="AQ160" s="25" t="s">
        <v>1576</v>
      </c>
      <c r="AR160" s="25"/>
      <c r="AS160" s="25"/>
      <c r="AT160" s="24"/>
    </row>
    <row r="161" spans="2:46" ht="16.2" x14ac:dyDescent="0.2">
      <c r="B161" s="328">
        <v>1</v>
      </c>
      <c r="C161" s="329"/>
      <c r="D161" s="638" t="str">
        <f>D135</f>
        <v>PMZ-1001-1</v>
      </c>
      <c r="E161" s="639"/>
      <c r="F161" s="639"/>
      <c r="G161" s="640"/>
      <c r="H161" s="622" t="str">
        <f>IF(D161=0,"",VLOOKUP(D161,商品!A2:G1778,7,FALSE))</f>
        <v>ドライショートスリーブTシャツ</v>
      </c>
      <c r="I161" s="621"/>
      <c r="J161" s="621"/>
      <c r="K161" s="621"/>
      <c r="L161" s="621"/>
      <c r="M161" s="621"/>
      <c r="N161" s="621"/>
      <c r="O161" s="621"/>
      <c r="P161" s="621"/>
      <c r="Q161" s="621"/>
      <c r="R161" s="621"/>
      <c r="S161" s="623"/>
      <c r="T161" s="622" t="str">
        <f>IF(D161=0,"",旧貼付用!D6)</f>
        <v>M</v>
      </c>
      <c r="U161" s="621"/>
      <c r="V161" s="623"/>
      <c r="W161" s="622" t="str">
        <f>IF(D161=0,"",LEFT(旧貼付用!C6,FIND("_",旧貼付用!C6)-1))</f>
        <v>右胸</v>
      </c>
      <c r="X161" s="621"/>
      <c r="Y161" s="621"/>
      <c r="Z161" s="624" t="str">
        <f>IF(D161=0,"",LEFT(旧貼付用!C6,FIND("×",旧貼付用!C6)-1))</f>
        <v>右胸_本体BLK</v>
      </c>
      <c r="AA161" s="621"/>
      <c r="AB161" s="97" t="str">
        <f>IF(D161=0,"",MID(Z161,FIND("本体",Z161)+2,LEN(Z161)))</f>
        <v>BLK</v>
      </c>
      <c r="AC161" s="103" t="str">
        <f>IF(D161=0,"",VLOOKUP(AB161,$A$183:$B$197,2,FALSE))</f>
        <v>ブラック</v>
      </c>
      <c r="AD161" s="621" t="str">
        <f>IF(D161=0,"",MID(旧貼付用!C6,FIND("ロゴ",旧貼付用!C6)+2,LEN(旧貼付用!C6)))</f>
        <v>NVY</v>
      </c>
      <c r="AE161" s="621"/>
      <c r="AF161" s="621"/>
      <c r="AG161" s="621"/>
      <c r="AH161" s="31" t="str">
        <f>IF(D161=0,"",VLOOKUP(AD161,$A$183:$B$197,2,FALSE))</f>
        <v>ネイビー</v>
      </c>
      <c r="AI161" s="106">
        <f>IF(D161=0,"",旧貼付用!E6)</f>
        <v>1</v>
      </c>
      <c r="AJ161" s="107"/>
      <c r="AK161" s="19">
        <f>IF(D161=0,"",旧貼付用!E31)</f>
        <v>0</v>
      </c>
      <c r="AL161" s="29"/>
      <c r="AM161" s="15"/>
      <c r="AN161" s="637" t="str">
        <f>IF(D161=0,"",VLOOKUP(D161,商品!$A$2:$E$1753,2,FALSE))</f>
        <v>PMZ-1001-1</v>
      </c>
      <c r="AO161" s="637"/>
      <c r="AP161" s="637"/>
      <c r="AQ161" s="23"/>
      <c r="AR161" s="23"/>
      <c r="AS161" s="23"/>
      <c r="AT161" s="23"/>
    </row>
    <row r="162" spans="2:46" ht="15.6" x14ac:dyDescent="0.15">
      <c r="B162" s="349">
        <v>2</v>
      </c>
      <c r="C162" s="350"/>
      <c r="D162" s="351" t="str">
        <f t="shared" ref="D162:D180" si="3">D136</f>
        <v>PMZ-1001-2</v>
      </c>
      <c r="E162" s="352"/>
      <c r="F162" s="352"/>
      <c r="G162" s="353"/>
      <c r="H162" s="632" t="str">
        <f>IF(D162=0,"",VLOOKUP(D162,商品!A3:G1779,7,FALSE))</f>
        <v>ドライショートスリーブTシャツ</v>
      </c>
      <c r="I162" s="633"/>
      <c r="J162" s="633"/>
      <c r="K162" s="633"/>
      <c r="L162" s="633"/>
      <c r="M162" s="633"/>
      <c r="N162" s="633"/>
      <c r="O162" s="633"/>
      <c r="P162" s="633"/>
      <c r="Q162" s="633"/>
      <c r="R162" s="633"/>
      <c r="S162" s="634"/>
      <c r="T162" s="622" t="str">
        <f>IF(D162=0,"",旧貼付用!D7)</f>
        <v>M</v>
      </c>
      <c r="U162" s="621"/>
      <c r="V162" s="623"/>
      <c r="W162" s="622" t="str">
        <f>IF(D162=0,"",LEFT(旧貼付用!C7,FIND("_",旧貼付用!C7)-1))</f>
        <v>右袖</v>
      </c>
      <c r="X162" s="621"/>
      <c r="Y162" s="621"/>
      <c r="Z162" s="624" t="str">
        <f>IF(D162=0,"",LEFT(旧貼付用!C7,FIND("×",旧貼付用!C7)-1))</f>
        <v>右袖_本体WHT</v>
      </c>
      <c r="AA162" s="621"/>
      <c r="AB162" s="97" t="str">
        <f t="shared" ref="AB162:AB180" si="4">IF(D162=0,"",MID(Z162,FIND("本体",Z162)+2,LEN(Z162)))</f>
        <v>WHT</v>
      </c>
      <c r="AC162" s="103" t="str">
        <f t="shared" ref="AC162:AC180" si="5">IF(D162=0,"",VLOOKUP(AB162,$A$183:$B$197,2,FALSE))</f>
        <v>ホワイト</v>
      </c>
      <c r="AD162" s="621" t="str">
        <f>IF(D162=0,"",MID(旧貼付用!C7,FIND("ロゴ",旧貼付用!C7)+2,LEN(旧貼付用!C7)))</f>
        <v>HtPNK</v>
      </c>
      <c r="AE162" s="621"/>
      <c r="AF162" s="621"/>
      <c r="AG162" s="621"/>
      <c r="AH162" s="31" t="str">
        <f t="shared" ref="AH162:AH180" si="6">IF(D162=0,"",VLOOKUP(AD162,$A$183:$B$197,2,FALSE))</f>
        <v>ホットピンク</v>
      </c>
      <c r="AI162" s="106">
        <f>IF(D162=0,"",旧貼付用!E7)</f>
        <v>2</v>
      </c>
      <c r="AJ162" s="108"/>
      <c r="AK162" s="20">
        <f>IF(D162=0,"",旧貼付用!E32)</f>
        <v>0</v>
      </c>
      <c r="AL162" s="29"/>
      <c r="AM162" s="15"/>
      <c r="AN162" s="625" t="str">
        <f>IF(D162=0,"",VLOOKUP(D162,商品!$A$2:$E$1753,2,FALSE))</f>
        <v>PMZ-1001-2</v>
      </c>
      <c r="AO162" s="626"/>
      <c r="AP162" s="627"/>
      <c r="AQ162" s="15"/>
      <c r="AR162" s="15"/>
      <c r="AS162" s="15"/>
      <c r="AT162" s="16"/>
    </row>
    <row r="163" spans="2:46" ht="15.6" x14ac:dyDescent="0.15">
      <c r="B163" s="349">
        <v>3</v>
      </c>
      <c r="C163" s="350"/>
      <c r="D163" s="351" t="str">
        <f t="shared" si="3"/>
        <v>PMZ-1001-3</v>
      </c>
      <c r="E163" s="352"/>
      <c r="F163" s="352"/>
      <c r="G163" s="353"/>
      <c r="H163" s="632" t="str">
        <f>IF(D163=0,"",VLOOKUP(D163,商品!A4:G1780,7,FALSE))</f>
        <v>ドライショートスリーブTシャツ</v>
      </c>
      <c r="I163" s="633"/>
      <c r="J163" s="633"/>
      <c r="K163" s="633"/>
      <c r="L163" s="633"/>
      <c r="M163" s="633"/>
      <c r="N163" s="633"/>
      <c r="O163" s="633"/>
      <c r="P163" s="633"/>
      <c r="Q163" s="633"/>
      <c r="R163" s="633"/>
      <c r="S163" s="634"/>
      <c r="T163" s="622">
        <f>IF(D163=0,"",旧貼付用!D8)</f>
        <v>150</v>
      </c>
      <c r="U163" s="621"/>
      <c r="V163" s="623"/>
      <c r="W163" s="622" t="str">
        <f>IF(D163=0,"",LEFT(旧貼付用!C8,FIND("_",旧貼付用!C8)-1))</f>
        <v>背中襟下</v>
      </c>
      <c r="X163" s="621"/>
      <c r="Y163" s="621"/>
      <c r="Z163" s="624" t="str">
        <f>IF(D163=0,"",LEFT(旧貼付用!C8,FIND("×",旧貼付用!C8)-1))</f>
        <v>背中襟下_本体NVY</v>
      </c>
      <c r="AA163" s="621"/>
      <c r="AB163" s="97" t="str">
        <f t="shared" si="4"/>
        <v>NVY</v>
      </c>
      <c r="AC163" s="103" t="str">
        <f t="shared" si="5"/>
        <v>ネイビー</v>
      </c>
      <c r="AD163" s="621" t="str">
        <f>IF(D163=0,"",MID(旧貼付用!C8,FIND("ロゴ",旧貼付用!C8)+2,LEN(旧貼付用!C8)))</f>
        <v>LmGRN</v>
      </c>
      <c r="AE163" s="621"/>
      <c r="AF163" s="621"/>
      <c r="AG163" s="621"/>
      <c r="AH163" s="31" t="str">
        <f t="shared" si="6"/>
        <v>ライムグリーン</v>
      </c>
      <c r="AI163" s="106">
        <f>IF(D163=0,"",旧貼付用!E8)</f>
        <v>3</v>
      </c>
      <c r="AJ163" s="108"/>
      <c r="AK163" s="20">
        <f>IF(D163=0,"",旧貼付用!E33)</f>
        <v>0</v>
      </c>
      <c r="AL163" s="29"/>
      <c r="AM163" s="15"/>
      <c r="AN163" s="625" t="str">
        <f>IF(D163=0,"",VLOOKUP(D163,商品!$A$2:$E$1753,2,FALSE))</f>
        <v>PMZ-1001-3</v>
      </c>
      <c r="AO163" s="626"/>
      <c r="AP163" s="627"/>
      <c r="AQ163" s="15"/>
      <c r="AR163" s="15"/>
      <c r="AS163" s="15"/>
      <c r="AT163" s="16"/>
    </row>
    <row r="164" spans="2:46" ht="15.6" x14ac:dyDescent="0.15">
      <c r="B164" s="349">
        <v>4</v>
      </c>
      <c r="C164" s="350"/>
      <c r="D164" s="351" t="str">
        <f t="shared" si="3"/>
        <v>PMZ-2001-1</v>
      </c>
      <c r="E164" s="352"/>
      <c r="F164" s="352"/>
      <c r="G164" s="353"/>
      <c r="H164" s="632" t="str">
        <f>IF(D164=0,"",VLOOKUP(D164,商品!A5:G1781,7,FALSE))</f>
        <v>ドライロングスリーブTシャツ</v>
      </c>
      <c r="I164" s="633"/>
      <c r="J164" s="633"/>
      <c r="K164" s="633"/>
      <c r="L164" s="633"/>
      <c r="M164" s="633"/>
      <c r="N164" s="633"/>
      <c r="O164" s="633"/>
      <c r="P164" s="633"/>
      <c r="Q164" s="633"/>
      <c r="R164" s="633"/>
      <c r="S164" s="634"/>
      <c r="T164" s="622" t="str">
        <f>IF(D164=0,"",旧貼付用!D9)</f>
        <v>L</v>
      </c>
      <c r="U164" s="621"/>
      <c r="V164" s="623"/>
      <c r="W164" s="622" t="str">
        <f>IF(D164=0,"",LEFT(旧貼付用!C9,FIND("_",旧貼付用!C9)-1))</f>
        <v>左胸</v>
      </c>
      <c r="X164" s="621"/>
      <c r="Y164" s="621"/>
      <c r="Z164" s="624" t="str">
        <f>IF(D164=0,"",LEFT(旧貼付用!C9,FIND("×",旧貼付用!C9)-1))</f>
        <v>左胸_本体WHT</v>
      </c>
      <c r="AA164" s="621"/>
      <c r="AB164" s="97" t="str">
        <f t="shared" si="4"/>
        <v>WHT</v>
      </c>
      <c r="AC164" s="103" t="str">
        <f t="shared" si="5"/>
        <v>ホワイト</v>
      </c>
      <c r="AD164" s="621" t="str">
        <f>IF(D164=0,"",MID(旧貼付用!C9,FIND("ロゴ",旧貼付用!C9)+2,LEN(旧貼付用!C9)))</f>
        <v>BLU</v>
      </c>
      <c r="AE164" s="621"/>
      <c r="AF164" s="621"/>
      <c r="AG164" s="621"/>
      <c r="AH164" s="31" t="str">
        <f t="shared" si="6"/>
        <v>ブルー</v>
      </c>
      <c r="AI164" s="106">
        <f>IF(D164=0,"",旧貼付用!E9)</f>
        <v>1</v>
      </c>
      <c r="AJ164" s="108"/>
      <c r="AK164" s="20">
        <f>IF(D164=0,"",旧貼付用!E34)</f>
        <v>0</v>
      </c>
      <c r="AL164" s="29"/>
      <c r="AM164" s="15"/>
      <c r="AN164" s="625" t="str">
        <f>IF(D164=0,"",VLOOKUP(D164,商品!$A$2:$E$1753,2,FALSE))</f>
        <v>PMZ-2001-1</v>
      </c>
      <c r="AO164" s="626"/>
      <c r="AP164" s="627"/>
      <c r="AQ164" s="15"/>
      <c r="AR164" s="15"/>
      <c r="AS164" s="15"/>
      <c r="AT164" s="16"/>
    </row>
    <row r="165" spans="2:46" ht="15.6" x14ac:dyDescent="0.15">
      <c r="B165" s="349">
        <v>5</v>
      </c>
      <c r="C165" s="350"/>
      <c r="D165" s="351" t="str">
        <f t="shared" si="3"/>
        <v>PMZ-2001-2</v>
      </c>
      <c r="E165" s="352"/>
      <c r="F165" s="352"/>
      <c r="G165" s="353"/>
      <c r="H165" s="632" t="str">
        <f>IF(D165=0,"",VLOOKUP(D165,商品!A6:G1782,7,FALSE))</f>
        <v>ドライロングスリーブTシャツ</v>
      </c>
      <c r="I165" s="633"/>
      <c r="J165" s="633"/>
      <c r="K165" s="633"/>
      <c r="L165" s="633"/>
      <c r="M165" s="633"/>
      <c r="N165" s="633"/>
      <c r="O165" s="633"/>
      <c r="P165" s="633"/>
      <c r="Q165" s="633"/>
      <c r="R165" s="633"/>
      <c r="S165" s="634"/>
      <c r="T165" s="622" t="str">
        <f>IF(D165=0,"",旧貼付用!D10)</f>
        <v>3XL</v>
      </c>
      <c r="U165" s="621"/>
      <c r="V165" s="623"/>
      <c r="W165" s="622" t="str">
        <f>IF(D165=0,"",LEFT(旧貼付用!C10,FIND("_",旧貼付用!C10)-1))</f>
        <v>右袖</v>
      </c>
      <c r="X165" s="621"/>
      <c r="Y165" s="621"/>
      <c r="Z165" s="624" t="str">
        <f>IF(D165=0,"",LEFT(旧貼付用!C10,FIND("×",旧貼付用!C10)-1))</f>
        <v>右袖_本体BLK</v>
      </c>
      <c r="AA165" s="621"/>
      <c r="AB165" s="97" t="str">
        <f t="shared" si="4"/>
        <v>BLK</v>
      </c>
      <c r="AC165" s="103" t="str">
        <f t="shared" si="5"/>
        <v>ブラック</v>
      </c>
      <c r="AD165" s="621" t="str">
        <f>IF(D165=0,"",MID(旧貼付用!C10,FIND("ロゴ",旧貼付用!C10)+2,LEN(旧貼付用!C10)))</f>
        <v>RED</v>
      </c>
      <c r="AE165" s="621"/>
      <c r="AF165" s="621"/>
      <c r="AG165" s="621"/>
      <c r="AH165" s="31" t="str">
        <f t="shared" si="6"/>
        <v>レッド</v>
      </c>
      <c r="AI165" s="106">
        <f>IF(D165=0,"",旧貼付用!E10)</f>
        <v>2</v>
      </c>
      <c r="AJ165" s="108"/>
      <c r="AK165" s="20">
        <f>IF(D165=0,"",旧貼付用!E35)</f>
        <v>0</v>
      </c>
      <c r="AL165" s="29"/>
      <c r="AM165" s="15"/>
      <c r="AN165" s="625" t="str">
        <f>IF(D165=0,"",VLOOKUP(D165,商品!$A$2:$E$1753,2,FALSE))</f>
        <v>PMZ-2001-2</v>
      </c>
      <c r="AO165" s="626"/>
      <c r="AP165" s="627"/>
      <c r="AQ165" s="15"/>
      <c r="AR165" s="15"/>
      <c r="AS165" s="15"/>
      <c r="AT165" s="16"/>
    </row>
    <row r="166" spans="2:46" ht="15.6" x14ac:dyDescent="0.15">
      <c r="B166" s="349">
        <v>6</v>
      </c>
      <c r="C166" s="350"/>
      <c r="D166" s="351" t="str">
        <f t="shared" si="3"/>
        <v>PMZ-2001-3</v>
      </c>
      <c r="E166" s="352"/>
      <c r="F166" s="352"/>
      <c r="G166" s="353"/>
      <c r="H166" s="632" t="str">
        <f>IF(D166=0,"",VLOOKUP(D166,商品!A7:G1783,7,FALSE))</f>
        <v>ドライロングスリーブTシャツ</v>
      </c>
      <c r="I166" s="633"/>
      <c r="J166" s="633"/>
      <c r="K166" s="633"/>
      <c r="L166" s="633"/>
      <c r="M166" s="633"/>
      <c r="N166" s="633"/>
      <c r="O166" s="633"/>
      <c r="P166" s="633"/>
      <c r="Q166" s="633"/>
      <c r="R166" s="633"/>
      <c r="S166" s="634"/>
      <c r="T166" s="622" t="str">
        <f>IF(D166=0,"",旧貼付用!D11)</f>
        <v>M</v>
      </c>
      <c r="U166" s="621"/>
      <c r="V166" s="623"/>
      <c r="W166" s="622" t="str">
        <f>IF(D166=0,"",LEFT(旧貼付用!C11,FIND("_",旧貼付用!C11)-1))</f>
        <v>背中襟下</v>
      </c>
      <c r="X166" s="621"/>
      <c r="Y166" s="621"/>
      <c r="Z166" s="624" t="str">
        <f>IF(D166=0,"",LEFT(旧貼付用!C11,FIND("×",旧貼付用!C11)-1))</f>
        <v>背中襟下_本体BLK</v>
      </c>
      <c r="AA166" s="621"/>
      <c r="AB166" s="97" t="str">
        <f t="shared" si="4"/>
        <v>BLK</v>
      </c>
      <c r="AC166" s="103" t="str">
        <f t="shared" si="5"/>
        <v>ブラック</v>
      </c>
      <c r="AD166" s="621" t="str">
        <f>IF(D166=0,"",MID(旧貼付用!C11,FIND("ロゴ",旧貼付用!C11)+2,LEN(旧貼付用!C11)))</f>
        <v>WHT</v>
      </c>
      <c r="AE166" s="621"/>
      <c r="AF166" s="621"/>
      <c r="AG166" s="621"/>
      <c r="AH166" s="31" t="str">
        <f t="shared" si="6"/>
        <v>ホワイト</v>
      </c>
      <c r="AI166" s="106">
        <f>IF(D166=0,"",旧貼付用!E11)</f>
        <v>5</v>
      </c>
      <c r="AJ166" s="108"/>
      <c r="AK166" s="20">
        <f>IF(D166=0,"",旧貼付用!E36)</f>
        <v>0</v>
      </c>
      <c r="AL166" s="29"/>
      <c r="AM166" s="15"/>
      <c r="AN166" s="625" t="str">
        <f>IF(D166=0,"",VLOOKUP(D166,商品!$A$2:$E$1753,2,FALSE))</f>
        <v>PMZ-2001-3</v>
      </c>
      <c r="AO166" s="626"/>
      <c r="AP166" s="627"/>
      <c r="AQ166" s="15"/>
      <c r="AR166" s="15"/>
      <c r="AS166" s="15"/>
      <c r="AT166" s="16"/>
    </row>
    <row r="167" spans="2:46" ht="15.6" x14ac:dyDescent="0.15">
      <c r="B167" s="349">
        <v>7</v>
      </c>
      <c r="C167" s="350"/>
      <c r="D167" s="351" t="str">
        <f t="shared" si="3"/>
        <v>PMZ-3001-1</v>
      </c>
      <c r="E167" s="352"/>
      <c r="F167" s="352"/>
      <c r="G167" s="353"/>
      <c r="H167" s="632" t="str">
        <f>IF(D167=0,"",VLOOKUP(D167,商品!A8:G1784,7,FALSE))</f>
        <v>ボタンダウンポロシャツ</v>
      </c>
      <c r="I167" s="633"/>
      <c r="J167" s="633"/>
      <c r="K167" s="633"/>
      <c r="L167" s="633"/>
      <c r="M167" s="633"/>
      <c r="N167" s="633"/>
      <c r="O167" s="633"/>
      <c r="P167" s="633"/>
      <c r="Q167" s="633"/>
      <c r="R167" s="633"/>
      <c r="S167" s="634"/>
      <c r="T167" s="622" t="str">
        <f>IF(D167=0,"",旧貼付用!D12)</f>
        <v>XL</v>
      </c>
      <c r="U167" s="621"/>
      <c r="V167" s="623"/>
      <c r="W167" s="622" t="str">
        <f>IF(D167=0,"",LEFT(旧貼付用!C12,FIND("_",旧貼付用!C12)-1))</f>
        <v>左胸</v>
      </c>
      <c r="X167" s="621"/>
      <c r="Y167" s="621"/>
      <c r="Z167" s="624" t="str">
        <f>IF(D167=0,"",LEFT(旧貼付用!C12,FIND("×",旧貼付用!C12)-1))</f>
        <v>左胸_本体YEL</v>
      </c>
      <c r="AA167" s="621"/>
      <c r="AB167" s="97" t="str">
        <f t="shared" si="4"/>
        <v>YEL</v>
      </c>
      <c r="AC167" s="103" t="str">
        <f t="shared" si="5"/>
        <v>イエロー</v>
      </c>
      <c r="AD167" s="621" t="str">
        <f>IF(D167=0,"",MID(旧貼付用!C12,FIND("ロゴ",旧貼付用!C12)+2,LEN(旧貼付用!C12)))</f>
        <v>YEL</v>
      </c>
      <c r="AE167" s="621"/>
      <c r="AF167" s="621"/>
      <c r="AG167" s="621"/>
      <c r="AH167" s="31" t="str">
        <f t="shared" si="6"/>
        <v>イエロー</v>
      </c>
      <c r="AI167" s="106">
        <f>IF(D167=0,"",旧貼付用!E12)</f>
        <v>1</v>
      </c>
      <c r="AJ167" s="108"/>
      <c r="AK167" s="20">
        <f>IF(D167=0,"",旧貼付用!E37)</f>
        <v>0</v>
      </c>
      <c r="AL167" s="29"/>
      <c r="AM167" s="15"/>
      <c r="AN167" s="625" t="str">
        <f>IF(D167=0,"",VLOOKUP(D167,商品!$A$2:$E$1753,2,FALSE))</f>
        <v>PMZ-3001-1</v>
      </c>
      <c r="AO167" s="626"/>
      <c r="AP167" s="627"/>
      <c r="AQ167" s="15"/>
      <c r="AR167" s="15"/>
      <c r="AS167" s="15"/>
      <c r="AT167" s="16"/>
    </row>
    <row r="168" spans="2:46" ht="15.6" x14ac:dyDescent="0.15">
      <c r="B168" s="349">
        <v>8</v>
      </c>
      <c r="C168" s="350"/>
      <c r="D168" s="351" t="str">
        <f t="shared" si="3"/>
        <v>PMZ-3001-2</v>
      </c>
      <c r="E168" s="352"/>
      <c r="F168" s="352"/>
      <c r="G168" s="353"/>
      <c r="H168" s="632" t="str">
        <f>IF(D168=0,"",VLOOKUP(D168,商品!A9:G1785,7,FALSE))</f>
        <v>ボタンダウンポロシャツ</v>
      </c>
      <c r="I168" s="633"/>
      <c r="J168" s="633"/>
      <c r="K168" s="633"/>
      <c r="L168" s="633"/>
      <c r="M168" s="633"/>
      <c r="N168" s="633"/>
      <c r="O168" s="633"/>
      <c r="P168" s="633"/>
      <c r="Q168" s="633"/>
      <c r="R168" s="633"/>
      <c r="S168" s="634"/>
      <c r="T168" s="622" t="str">
        <f>IF(D168=0,"",旧貼付用!D13)</f>
        <v>S</v>
      </c>
      <c r="U168" s="621"/>
      <c r="V168" s="623"/>
      <c r="W168" s="622" t="str">
        <f>IF(D168=0,"",LEFT(旧貼付用!C13,FIND("_",旧貼付用!C13)-1))</f>
        <v>右袖</v>
      </c>
      <c r="X168" s="621"/>
      <c r="Y168" s="621"/>
      <c r="Z168" s="624" t="str">
        <f>IF(D168=0,"",LEFT(旧貼付用!C13,FIND("×",旧貼付用!C13)-1))</f>
        <v>右袖_本体BLK</v>
      </c>
      <c r="AA168" s="621"/>
      <c r="AB168" s="97" t="str">
        <f t="shared" si="4"/>
        <v>BLK</v>
      </c>
      <c r="AC168" s="103" t="str">
        <f t="shared" si="5"/>
        <v>ブラック</v>
      </c>
      <c r="AD168" s="621" t="str">
        <f>IF(D168=0,"",MID(旧貼付用!C13,FIND("ロゴ",旧貼付用!C13)+2,LEN(旧貼付用!C13)))</f>
        <v>ORG</v>
      </c>
      <c r="AE168" s="621"/>
      <c r="AF168" s="621"/>
      <c r="AG168" s="621"/>
      <c r="AH168" s="31" t="str">
        <f t="shared" si="6"/>
        <v>オレンジ</v>
      </c>
      <c r="AI168" s="106">
        <f>IF(D168=0,"",旧貼付用!E13)</f>
        <v>2</v>
      </c>
      <c r="AJ168" s="108"/>
      <c r="AK168" s="20">
        <f>IF(D168=0,"",旧貼付用!E38)</f>
        <v>0</v>
      </c>
      <c r="AL168" s="29"/>
      <c r="AM168" s="15"/>
      <c r="AN168" s="625" t="str">
        <f>IF(D168=0,"",VLOOKUP(D168,商品!$A$2:$E$1753,2,FALSE))</f>
        <v>PMZ-3001-2</v>
      </c>
      <c r="AO168" s="626"/>
      <c r="AP168" s="627"/>
      <c r="AQ168" s="15"/>
      <c r="AR168" s="15"/>
      <c r="AS168" s="15"/>
      <c r="AT168" s="16"/>
    </row>
    <row r="169" spans="2:46" ht="15.6" x14ac:dyDescent="0.15">
      <c r="B169" s="630">
        <v>9</v>
      </c>
      <c r="C169" s="631"/>
      <c r="D169" s="351" t="str">
        <f t="shared" si="3"/>
        <v>PMZ-3001-3</v>
      </c>
      <c r="E169" s="352"/>
      <c r="F169" s="352"/>
      <c r="G169" s="353"/>
      <c r="H169" s="632" t="str">
        <f>IF(D169=0,"",VLOOKUP(D169,商品!A10:G1786,7,FALSE))</f>
        <v>ボタンダウンポロシャツ</v>
      </c>
      <c r="I169" s="633"/>
      <c r="J169" s="633"/>
      <c r="K169" s="633"/>
      <c r="L169" s="633"/>
      <c r="M169" s="633"/>
      <c r="N169" s="633"/>
      <c r="O169" s="633"/>
      <c r="P169" s="633"/>
      <c r="Q169" s="633"/>
      <c r="R169" s="633"/>
      <c r="S169" s="634"/>
      <c r="T169" s="622" t="str">
        <f>IF(D169=0,"",旧貼付用!D14)</f>
        <v>XS</v>
      </c>
      <c r="U169" s="621"/>
      <c r="V169" s="623"/>
      <c r="W169" s="622" t="str">
        <f>IF(D169=0,"",LEFT(旧貼付用!C14,FIND("_",旧貼付用!C14)-1))</f>
        <v>背中襟下</v>
      </c>
      <c r="X169" s="621"/>
      <c r="Y169" s="621"/>
      <c r="Z169" s="624" t="str">
        <f>IF(D169=0,"",LEFT(旧貼付用!C14,FIND("×",旧貼付用!C14)-1))</f>
        <v>背中襟下_本体NVY</v>
      </c>
      <c r="AA169" s="621"/>
      <c r="AB169" s="97" t="str">
        <f t="shared" si="4"/>
        <v>NVY</v>
      </c>
      <c r="AC169" s="103" t="str">
        <f t="shared" si="5"/>
        <v>ネイビー</v>
      </c>
      <c r="AD169" s="621" t="str">
        <f>IF(D169=0,"",MID(旧貼付用!C14,FIND("ロゴ",旧貼付用!C14)+2,LEN(旧貼付用!C14)))</f>
        <v>HtPNK</v>
      </c>
      <c r="AE169" s="621"/>
      <c r="AF169" s="621"/>
      <c r="AG169" s="621"/>
      <c r="AH169" s="31" t="str">
        <f t="shared" si="6"/>
        <v>ホットピンク</v>
      </c>
      <c r="AI169" s="106">
        <f>IF(D169=0,"",旧貼付用!E14)</f>
        <v>3</v>
      </c>
      <c r="AJ169" s="108"/>
      <c r="AK169" s="20">
        <f>IF(D169=0,"",旧貼付用!E39)</f>
        <v>0</v>
      </c>
      <c r="AL169" s="29"/>
      <c r="AM169" s="15"/>
      <c r="AN169" s="625" t="str">
        <f>IF(D169=0,"",VLOOKUP(D169,商品!$A$2:$E$1753,2,FALSE))</f>
        <v>PMZ-3001-3</v>
      </c>
      <c r="AO169" s="626"/>
      <c r="AP169" s="627"/>
      <c r="AQ169" s="15"/>
      <c r="AR169" s="15"/>
      <c r="AS169" s="15"/>
      <c r="AT169" s="16"/>
    </row>
    <row r="170" spans="2:46" ht="15.6" x14ac:dyDescent="0.15">
      <c r="B170" s="630">
        <v>10</v>
      </c>
      <c r="C170" s="631"/>
      <c r="D170" s="351">
        <f t="shared" si="3"/>
        <v>0</v>
      </c>
      <c r="E170" s="352"/>
      <c r="F170" s="352"/>
      <c r="G170" s="353"/>
      <c r="H170" s="632" t="str">
        <f>IF(D170=0,"",VLOOKUP(D170,商品!A11:G1787,7,FALSE))</f>
        <v/>
      </c>
      <c r="I170" s="633"/>
      <c r="J170" s="633"/>
      <c r="K170" s="633"/>
      <c r="L170" s="633"/>
      <c r="M170" s="633"/>
      <c r="N170" s="633"/>
      <c r="O170" s="633"/>
      <c r="P170" s="633"/>
      <c r="Q170" s="633"/>
      <c r="R170" s="633"/>
      <c r="S170" s="634"/>
      <c r="T170" s="622" t="str">
        <f>IF(D170=0,"",旧貼付用!D15)</f>
        <v/>
      </c>
      <c r="U170" s="621"/>
      <c r="V170" s="623"/>
      <c r="W170" s="622" t="str">
        <f>IF(D170=0,"",LEFT(旧貼付用!C15,FIND("_",旧貼付用!C15)-1))</f>
        <v/>
      </c>
      <c r="X170" s="621"/>
      <c r="Y170" s="621"/>
      <c r="Z170" s="624" t="str">
        <f>IF(D170=0,"",LEFT(旧貼付用!C15,FIND("×",旧貼付用!C15)-1))</f>
        <v/>
      </c>
      <c r="AA170" s="621"/>
      <c r="AB170" s="97" t="str">
        <f t="shared" si="4"/>
        <v/>
      </c>
      <c r="AC170" s="103" t="str">
        <f t="shared" si="5"/>
        <v/>
      </c>
      <c r="AD170" s="621" t="str">
        <f>IF(D170=0,"",MID(旧貼付用!C15,FIND("ロゴ",旧貼付用!C15)+2,LEN(旧貼付用!C15)))</f>
        <v/>
      </c>
      <c r="AE170" s="621"/>
      <c r="AF170" s="621"/>
      <c r="AG170" s="621"/>
      <c r="AH170" s="31" t="str">
        <f t="shared" si="6"/>
        <v/>
      </c>
      <c r="AI170" s="106" t="str">
        <f>IF(D170=0,"",旧貼付用!E15)</f>
        <v/>
      </c>
      <c r="AJ170" s="108"/>
      <c r="AK170" s="20" t="str">
        <f>IF(D170=0,"",旧貼付用!E40)</f>
        <v/>
      </c>
      <c r="AL170" s="29"/>
      <c r="AM170" s="15"/>
      <c r="AN170" s="625" t="str">
        <f>IF(D170=0,"",VLOOKUP(D170,商品!$A$2:$E$1753,2,FALSE))</f>
        <v/>
      </c>
      <c r="AO170" s="626"/>
      <c r="AP170" s="627"/>
      <c r="AQ170" s="15"/>
      <c r="AR170" s="15"/>
      <c r="AS170" s="15"/>
      <c r="AT170" s="16"/>
    </row>
    <row r="171" spans="2:46" ht="15.6" x14ac:dyDescent="0.15">
      <c r="B171" s="630">
        <v>11</v>
      </c>
      <c r="C171" s="631"/>
      <c r="D171" s="351">
        <f t="shared" si="3"/>
        <v>0</v>
      </c>
      <c r="E171" s="352"/>
      <c r="F171" s="352"/>
      <c r="G171" s="353"/>
      <c r="H171" s="632" t="str">
        <f>IF(D171=0,"",VLOOKUP(D171,商品!A12:G1788,7,FALSE))</f>
        <v/>
      </c>
      <c r="I171" s="633"/>
      <c r="J171" s="633"/>
      <c r="K171" s="633"/>
      <c r="L171" s="633"/>
      <c r="M171" s="633"/>
      <c r="N171" s="633"/>
      <c r="O171" s="633"/>
      <c r="P171" s="633"/>
      <c r="Q171" s="633"/>
      <c r="R171" s="633"/>
      <c r="S171" s="634"/>
      <c r="T171" s="622" t="str">
        <f>IF(D171=0,"",旧貼付用!D16)</f>
        <v/>
      </c>
      <c r="U171" s="621"/>
      <c r="V171" s="623"/>
      <c r="W171" s="622" t="str">
        <f>IF(D171=0,"",LEFT(旧貼付用!C16,FIND("_",旧貼付用!C16)-1))</f>
        <v/>
      </c>
      <c r="X171" s="621"/>
      <c r="Y171" s="621"/>
      <c r="Z171" s="624" t="str">
        <f>IF(D171=0,"",LEFT(旧貼付用!C16,FIND("×",旧貼付用!C16)-1))</f>
        <v/>
      </c>
      <c r="AA171" s="621"/>
      <c r="AB171" s="97" t="str">
        <f t="shared" si="4"/>
        <v/>
      </c>
      <c r="AC171" s="103" t="str">
        <f t="shared" si="5"/>
        <v/>
      </c>
      <c r="AD171" s="621" t="str">
        <f>IF(D171=0,"",MID(旧貼付用!C16,FIND("ロゴ",旧貼付用!C16)+2,LEN(旧貼付用!C16)))</f>
        <v/>
      </c>
      <c r="AE171" s="621"/>
      <c r="AF171" s="621"/>
      <c r="AG171" s="621"/>
      <c r="AH171" s="31" t="str">
        <f t="shared" si="6"/>
        <v/>
      </c>
      <c r="AI171" s="106" t="str">
        <f>IF(D171=0,"",旧貼付用!E16)</f>
        <v/>
      </c>
      <c r="AJ171" s="108"/>
      <c r="AK171" s="20" t="str">
        <f>IF(D171=0,"",旧貼付用!E41)</f>
        <v/>
      </c>
      <c r="AL171" s="29"/>
      <c r="AM171" s="15"/>
      <c r="AN171" s="625" t="str">
        <f>IF(D171=0,"",VLOOKUP(D171,商品!$A$2:$E$1753,2,FALSE))</f>
        <v/>
      </c>
      <c r="AO171" s="626"/>
      <c r="AP171" s="627"/>
      <c r="AQ171" s="15"/>
      <c r="AR171" s="15"/>
      <c r="AS171" s="15"/>
      <c r="AT171" s="16"/>
    </row>
    <row r="172" spans="2:46" ht="15.6" x14ac:dyDescent="0.15">
      <c r="B172" s="630">
        <v>12</v>
      </c>
      <c r="C172" s="631"/>
      <c r="D172" s="351">
        <f t="shared" si="3"/>
        <v>0</v>
      </c>
      <c r="E172" s="352"/>
      <c r="F172" s="352"/>
      <c r="G172" s="353"/>
      <c r="H172" s="632" t="str">
        <f>IF(D172=0,"",VLOOKUP(D172,商品!A13:G1789,7,FALSE))</f>
        <v/>
      </c>
      <c r="I172" s="633"/>
      <c r="J172" s="633"/>
      <c r="K172" s="633"/>
      <c r="L172" s="633"/>
      <c r="M172" s="633"/>
      <c r="N172" s="633"/>
      <c r="O172" s="633"/>
      <c r="P172" s="633"/>
      <c r="Q172" s="633"/>
      <c r="R172" s="633"/>
      <c r="S172" s="634"/>
      <c r="T172" s="622" t="str">
        <f>IF(D172=0,"",旧貼付用!D17)</f>
        <v/>
      </c>
      <c r="U172" s="621"/>
      <c r="V172" s="623"/>
      <c r="W172" s="622" t="str">
        <f>IF(D172=0,"",LEFT(旧貼付用!C17,FIND("_",旧貼付用!C17)-1))</f>
        <v/>
      </c>
      <c r="X172" s="621"/>
      <c r="Y172" s="621"/>
      <c r="Z172" s="624" t="str">
        <f>IF(D172=0,"",LEFT(旧貼付用!C17,FIND("×",旧貼付用!C17)-1))</f>
        <v/>
      </c>
      <c r="AA172" s="621"/>
      <c r="AB172" s="97" t="str">
        <f t="shared" si="4"/>
        <v/>
      </c>
      <c r="AC172" s="103" t="str">
        <f t="shared" si="5"/>
        <v/>
      </c>
      <c r="AD172" s="621" t="str">
        <f>IF(D172=0,"",MID(旧貼付用!C17,FIND("ロゴ",旧貼付用!C17)+2,LEN(旧貼付用!C17)))</f>
        <v/>
      </c>
      <c r="AE172" s="621"/>
      <c r="AF172" s="621"/>
      <c r="AG172" s="621"/>
      <c r="AH172" s="31" t="str">
        <f t="shared" si="6"/>
        <v/>
      </c>
      <c r="AI172" s="106" t="str">
        <f>IF(D172=0,"",旧貼付用!E17)</f>
        <v/>
      </c>
      <c r="AJ172" s="108"/>
      <c r="AK172" s="20" t="str">
        <f>IF(D172=0,"",旧貼付用!E42)</f>
        <v/>
      </c>
      <c r="AL172" s="29"/>
      <c r="AM172" s="15"/>
      <c r="AN172" s="625" t="str">
        <f>IF(D172=0,"",VLOOKUP(D172,商品!$A$2:$E$1753,2,FALSE))</f>
        <v/>
      </c>
      <c r="AO172" s="626"/>
      <c r="AP172" s="627"/>
      <c r="AQ172" s="15"/>
      <c r="AR172" s="15"/>
      <c r="AS172" s="15"/>
      <c r="AT172" s="16"/>
    </row>
    <row r="173" spans="2:46" ht="15.6" x14ac:dyDescent="0.15">
      <c r="B173" s="630">
        <v>13</v>
      </c>
      <c r="C173" s="631"/>
      <c r="D173" s="351">
        <f t="shared" si="3"/>
        <v>0</v>
      </c>
      <c r="E173" s="352"/>
      <c r="F173" s="352"/>
      <c r="G173" s="353"/>
      <c r="H173" s="632" t="str">
        <f>IF(D173=0,"",VLOOKUP(D173,商品!A14:G1790,7,FALSE))</f>
        <v/>
      </c>
      <c r="I173" s="633"/>
      <c r="J173" s="633"/>
      <c r="K173" s="633"/>
      <c r="L173" s="633"/>
      <c r="M173" s="633"/>
      <c r="N173" s="633"/>
      <c r="O173" s="633"/>
      <c r="P173" s="633"/>
      <c r="Q173" s="633"/>
      <c r="R173" s="633"/>
      <c r="S173" s="634"/>
      <c r="T173" s="622" t="str">
        <f>IF(D173=0,"",旧貼付用!D18)</f>
        <v/>
      </c>
      <c r="U173" s="621"/>
      <c r="V173" s="623"/>
      <c r="W173" s="622" t="str">
        <f>IF(D173=0,"",LEFT(旧貼付用!C18,FIND("_",旧貼付用!C18)-1))</f>
        <v/>
      </c>
      <c r="X173" s="621"/>
      <c r="Y173" s="621"/>
      <c r="Z173" s="624" t="str">
        <f>IF(D173=0,"",LEFT(旧貼付用!C18,FIND("×",旧貼付用!C18)-1))</f>
        <v/>
      </c>
      <c r="AA173" s="621"/>
      <c r="AB173" s="97" t="str">
        <f t="shared" si="4"/>
        <v/>
      </c>
      <c r="AC173" s="103" t="str">
        <f t="shared" si="5"/>
        <v/>
      </c>
      <c r="AD173" s="621" t="str">
        <f>IF(D173=0,"",MID(旧貼付用!C18,FIND("ロゴ",旧貼付用!C18)+2,LEN(旧貼付用!C18)))</f>
        <v/>
      </c>
      <c r="AE173" s="621"/>
      <c r="AF173" s="621"/>
      <c r="AG173" s="621"/>
      <c r="AH173" s="31" t="str">
        <f t="shared" si="6"/>
        <v/>
      </c>
      <c r="AI173" s="106" t="str">
        <f>IF(D173=0,"",旧貼付用!E18)</f>
        <v/>
      </c>
      <c r="AJ173" s="108"/>
      <c r="AK173" s="20" t="str">
        <f>IF(D173=0,"",旧貼付用!E43)</f>
        <v/>
      </c>
      <c r="AL173" s="29"/>
      <c r="AM173" s="15"/>
      <c r="AN173" s="625" t="str">
        <f>IF(D173=0,"",VLOOKUP(D173,商品!$A$2:$E$1753,2,FALSE))</f>
        <v/>
      </c>
      <c r="AO173" s="626"/>
      <c r="AP173" s="627"/>
      <c r="AQ173" s="15"/>
      <c r="AR173" s="15"/>
      <c r="AS173" s="15"/>
      <c r="AT173" s="16"/>
    </row>
    <row r="174" spans="2:46" ht="15.6" x14ac:dyDescent="0.15">
      <c r="B174" s="630">
        <v>14</v>
      </c>
      <c r="C174" s="631"/>
      <c r="D174" s="351">
        <f t="shared" si="3"/>
        <v>0</v>
      </c>
      <c r="E174" s="352"/>
      <c r="F174" s="352"/>
      <c r="G174" s="353"/>
      <c r="H174" s="632" t="str">
        <f>IF(D174=0,"",VLOOKUP(D174,商品!A15:G1791,7,FALSE))</f>
        <v/>
      </c>
      <c r="I174" s="633"/>
      <c r="J174" s="633"/>
      <c r="K174" s="633"/>
      <c r="L174" s="633"/>
      <c r="M174" s="633"/>
      <c r="N174" s="633"/>
      <c r="O174" s="633"/>
      <c r="P174" s="633"/>
      <c r="Q174" s="633"/>
      <c r="R174" s="633"/>
      <c r="S174" s="634"/>
      <c r="T174" s="622" t="str">
        <f>IF(D174=0,"",旧貼付用!D19)</f>
        <v/>
      </c>
      <c r="U174" s="621"/>
      <c r="V174" s="623"/>
      <c r="W174" s="622" t="str">
        <f>IF(D174=0,"",LEFT(旧貼付用!C19,FIND("_",旧貼付用!C19)-1))</f>
        <v/>
      </c>
      <c r="X174" s="621"/>
      <c r="Y174" s="621"/>
      <c r="Z174" s="624" t="str">
        <f>IF(D174=0,"",LEFT(旧貼付用!C19,FIND("×",旧貼付用!C19)-1))</f>
        <v/>
      </c>
      <c r="AA174" s="621"/>
      <c r="AB174" s="97" t="str">
        <f t="shared" si="4"/>
        <v/>
      </c>
      <c r="AC174" s="103" t="str">
        <f t="shared" si="5"/>
        <v/>
      </c>
      <c r="AD174" s="621" t="str">
        <f>IF(D174=0,"",MID(旧貼付用!C19,FIND("ロゴ",旧貼付用!C19)+2,LEN(旧貼付用!C19)))</f>
        <v/>
      </c>
      <c r="AE174" s="621"/>
      <c r="AF174" s="621"/>
      <c r="AG174" s="621"/>
      <c r="AH174" s="31" t="str">
        <f t="shared" si="6"/>
        <v/>
      </c>
      <c r="AI174" s="106" t="str">
        <f>IF(D174=0,"",旧貼付用!E19)</f>
        <v/>
      </c>
      <c r="AJ174" s="108"/>
      <c r="AK174" s="20" t="str">
        <f>IF(D174=0,"",旧貼付用!E44)</f>
        <v/>
      </c>
      <c r="AL174" s="29"/>
      <c r="AM174" s="15"/>
      <c r="AN174" s="625" t="str">
        <f>IF(D174=0,"",VLOOKUP(D174,商品!$A$2:$E$1753,2,FALSE))</f>
        <v/>
      </c>
      <c r="AO174" s="626"/>
      <c r="AP174" s="627"/>
      <c r="AQ174" s="15"/>
      <c r="AR174" s="15"/>
      <c r="AS174" s="15"/>
      <c r="AT174" s="16"/>
    </row>
    <row r="175" spans="2:46" ht="15.6" x14ac:dyDescent="0.15">
      <c r="B175" s="630">
        <v>15</v>
      </c>
      <c r="C175" s="631"/>
      <c r="D175" s="351">
        <f t="shared" si="3"/>
        <v>0</v>
      </c>
      <c r="E175" s="352"/>
      <c r="F175" s="352"/>
      <c r="G175" s="353"/>
      <c r="H175" s="632" t="str">
        <f>IF(D175=0,"",VLOOKUP(D175,商品!A16:G1792,7,FALSE))</f>
        <v/>
      </c>
      <c r="I175" s="633"/>
      <c r="J175" s="633"/>
      <c r="K175" s="633"/>
      <c r="L175" s="633"/>
      <c r="M175" s="633"/>
      <c r="N175" s="633"/>
      <c r="O175" s="633"/>
      <c r="P175" s="633"/>
      <c r="Q175" s="633"/>
      <c r="R175" s="633"/>
      <c r="S175" s="634"/>
      <c r="T175" s="622" t="str">
        <f>IF(D175=0,"",旧貼付用!D20)</f>
        <v/>
      </c>
      <c r="U175" s="621"/>
      <c r="V175" s="623"/>
      <c r="W175" s="622" t="str">
        <f>IF(D175=0,"",LEFT(旧貼付用!C20,FIND("_",旧貼付用!C20)-1))</f>
        <v/>
      </c>
      <c r="X175" s="621"/>
      <c r="Y175" s="621"/>
      <c r="Z175" s="624" t="str">
        <f>IF(D175=0,"",LEFT(旧貼付用!C20,FIND("×",旧貼付用!C20)-1))</f>
        <v/>
      </c>
      <c r="AA175" s="621"/>
      <c r="AB175" s="97" t="str">
        <f t="shared" si="4"/>
        <v/>
      </c>
      <c r="AC175" s="103" t="str">
        <f t="shared" si="5"/>
        <v/>
      </c>
      <c r="AD175" s="621" t="str">
        <f>IF(D175=0,"",MID(旧貼付用!C20,FIND("ロゴ",旧貼付用!C20)+2,LEN(旧貼付用!C20)))</f>
        <v/>
      </c>
      <c r="AE175" s="621"/>
      <c r="AF175" s="621"/>
      <c r="AG175" s="621"/>
      <c r="AH175" s="31" t="str">
        <f t="shared" si="6"/>
        <v/>
      </c>
      <c r="AI175" s="106" t="str">
        <f>IF(D175=0,"",旧貼付用!E20)</f>
        <v/>
      </c>
      <c r="AJ175" s="108"/>
      <c r="AK175" s="20" t="str">
        <f>IF(D175=0,"",旧貼付用!E45)</f>
        <v/>
      </c>
      <c r="AL175" s="29"/>
      <c r="AM175" s="15"/>
      <c r="AN175" s="625" t="str">
        <f>IF(D175=0,"",VLOOKUP(D175,商品!$A$2:$E$1753,2,FALSE))</f>
        <v/>
      </c>
      <c r="AO175" s="626"/>
      <c r="AP175" s="627"/>
      <c r="AQ175" s="15"/>
      <c r="AR175" s="15"/>
      <c r="AS175" s="15"/>
      <c r="AT175" s="16"/>
    </row>
    <row r="176" spans="2:46" ht="15.6" x14ac:dyDescent="0.15">
      <c r="B176" s="630">
        <v>16</v>
      </c>
      <c r="C176" s="631"/>
      <c r="D176" s="351">
        <f t="shared" si="3"/>
        <v>0</v>
      </c>
      <c r="E176" s="352"/>
      <c r="F176" s="352"/>
      <c r="G176" s="353"/>
      <c r="H176" s="632" t="str">
        <f>IF(D176=0,"",VLOOKUP(D176,商品!A17:G1793,7,FALSE))</f>
        <v/>
      </c>
      <c r="I176" s="633"/>
      <c r="J176" s="633"/>
      <c r="K176" s="633"/>
      <c r="L176" s="633"/>
      <c r="M176" s="633"/>
      <c r="N176" s="633"/>
      <c r="O176" s="633"/>
      <c r="P176" s="633"/>
      <c r="Q176" s="633"/>
      <c r="R176" s="633"/>
      <c r="S176" s="634"/>
      <c r="T176" s="622" t="str">
        <f>IF(D176=0,"",旧貼付用!D21)</f>
        <v/>
      </c>
      <c r="U176" s="621"/>
      <c r="V176" s="623"/>
      <c r="W176" s="622" t="str">
        <f>IF(D176=0,"",LEFT(旧貼付用!C21,FIND("_",旧貼付用!C21)-1))</f>
        <v/>
      </c>
      <c r="X176" s="621"/>
      <c r="Y176" s="621"/>
      <c r="Z176" s="624" t="str">
        <f>IF(D176=0,"",LEFT(旧貼付用!C21,FIND("×",旧貼付用!C21)-1))</f>
        <v/>
      </c>
      <c r="AA176" s="621"/>
      <c r="AB176" s="97" t="str">
        <f t="shared" si="4"/>
        <v/>
      </c>
      <c r="AC176" s="103" t="str">
        <f t="shared" si="5"/>
        <v/>
      </c>
      <c r="AD176" s="621" t="str">
        <f>IF(D176=0,"",MID(旧貼付用!C21,FIND("ロゴ",旧貼付用!C21)+2,LEN(旧貼付用!C21)))</f>
        <v/>
      </c>
      <c r="AE176" s="621"/>
      <c r="AF176" s="621"/>
      <c r="AG176" s="621"/>
      <c r="AH176" s="31" t="str">
        <f t="shared" si="6"/>
        <v/>
      </c>
      <c r="AI176" s="106" t="str">
        <f>IF(D176=0,"",旧貼付用!E21)</f>
        <v/>
      </c>
      <c r="AJ176" s="108"/>
      <c r="AK176" s="20" t="str">
        <f>IF(D176=0,"",旧貼付用!E46)</f>
        <v/>
      </c>
      <c r="AL176" s="29"/>
      <c r="AM176" s="15"/>
      <c r="AN176" s="625" t="str">
        <f>IF(D176=0,"",VLOOKUP(D176,商品!$A$2:$E$1753,2,FALSE))</f>
        <v/>
      </c>
      <c r="AO176" s="626"/>
      <c r="AP176" s="627"/>
      <c r="AQ176" s="15"/>
      <c r="AR176" s="15"/>
      <c r="AS176" s="15"/>
      <c r="AT176" s="16"/>
    </row>
    <row r="177" spans="1:46" ht="15.6" x14ac:dyDescent="0.15">
      <c r="B177" s="630">
        <v>17</v>
      </c>
      <c r="C177" s="631"/>
      <c r="D177" s="351">
        <f t="shared" si="3"/>
        <v>0</v>
      </c>
      <c r="E177" s="352"/>
      <c r="F177" s="352"/>
      <c r="G177" s="353"/>
      <c r="H177" s="632" t="str">
        <f>IF(D177=0,"",VLOOKUP(D177,商品!A18:G1794,7,FALSE))</f>
        <v/>
      </c>
      <c r="I177" s="633"/>
      <c r="J177" s="633"/>
      <c r="K177" s="633"/>
      <c r="L177" s="633"/>
      <c r="M177" s="633"/>
      <c r="N177" s="633"/>
      <c r="O177" s="633"/>
      <c r="P177" s="633"/>
      <c r="Q177" s="633"/>
      <c r="R177" s="633"/>
      <c r="S177" s="634"/>
      <c r="T177" s="622" t="str">
        <f>IF(D177=0,"",旧貼付用!D22)</f>
        <v/>
      </c>
      <c r="U177" s="621"/>
      <c r="V177" s="623"/>
      <c r="W177" s="622" t="str">
        <f>IF(D177=0,"",LEFT(旧貼付用!C22,FIND("_",旧貼付用!C22)-1))</f>
        <v/>
      </c>
      <c r="X177" s="621"/>
      <c r="Y177" s="621"/>
      <c r="Z177" s="624" t="str">
        <f>IF(D177=0,"",LEFT(旧貼付用!C22,FIND("×",旧貼付用!C22)-1))</f>
        <v/>
      </c>
      <c r="AA177" s="621"/>
      <c r="AB177" s="97" t="str">
        <f t="shared" si="4"/>
        <v/>
      </c>
      <c r="AC177" s="103" t="str">
        <f t="shared" si="5"/>
        <v/>
      </c>
      <c r="AD177" s="621" t="str">
        <f>IF(D177=0,"",MID(旧貼付用!C22,FIND("ロゴ",旧貼付用!C22)+2,LEN(旧貼付用!C22)))</f>
        <v/>
      </c>
      <c r="AE177" s="621"/>
      <c r="AF177" s="621"/>
      <c r="AG177" s="621"/>
      <c r="AH177" s="31" t="str">
        <f t="shared" si="6"/>
        <v/>
      </c>
      <c r="AI177" s="106" t="str">
        <f>IF(D177=0,"",旧貼付用!E22)</f>
        <v/>
      </c>
      <c r="AJ177" s="108"/>
      <c r="AK177" s="20" t="str">
        <f>IF(D177=0,"",旧貼付用!E47)</f>
        <v/>
      </c>
      <c r="AL177" s="29"/>
      <c r="AM177" s="15"/>
      <c r="AN177" s="625" t="str">
        <f>IF(D177=0,"",VLOOKUP(D177,商品!$A$2:$E$1753,2,FALSE))</f>
        <v/>
      </c>
      <c r="AO177" s="626"/>
      <c r="AP177" s="627"/>
      <c r="AQ177" s="15"/>
      <c r="AR177" s="15"/>
      <c r="AS177" s="15"/>
      <c r="AT177" s="16"/>
    </row>
    <row r="178" spans="1:46" ht="15.6" x14ac:dyDescent="0.15">
      <c r="B178" s="630">
        <v>18</v>
      </c>
      <c r="C178" s="631"/>
      <c r="D178" s="351">
        <f t="shared" si="3"/>
        <v>0</v>
      </c>
      <c r="E178" s="352"/>
      <c r="F178" s="352"/>
      <c r="G178" s="353"/>
      <c r="H178" s="632" t="str">
        <f>IF(D178=0,"",VLOOKUP(D178,商品!A19:G1795,7,FALSE))</f>
        <v/>
      </c>
      <c r="I178" s="633"/>
      <c r="J178" s="633"/>
      <c r="K178" s="633"/>
      <c r="L178" s="633"/>
      <c r="M178" s="633"/>
      <c r="N178" s="633"/>
      <c r="O178" s="633"/>
      <c r="P178" s="633"/>
      <c r="Q178" s="633"/>
      <c r="R178" s="633"/>
      <c r="S178" s="634"/>
      <c r="T178" s="622" t="str">
        <f>IF(D178=0,"",旧貼付用!D23)</f>
        <v/>
      </c>
      <c r="U178" s="621"/>
      <c r="V178" s="623"/>
      <c r="W178" s="622" t="str">
        <f>IF(D178=0,"",LEFT(旧貼付用!C23,FIND("_",旧貼付用!C23)-1))</f>
        <v/>
      </c>
      <c r="X178" s="621"/>
      <c r="Y178" s="621"/>
      <c r="Z178" s="624" t="str">
        <f>IF(D178=0,"",LEFT(旧貼付用!C23,FIND("×",旧貼付用!C23)-1))</f>
        <v/>
      </c>
      <c r="AA178" s="621"/>
      <c r="AB178" s="97" t="str">
        <f t="shared" si="4"/>
        <v/>
      </c>
      <c r="AC178" s="103" t="str">
        <f t="shared" si="5"/>
        <v/>
      </c>
      <c r="AD178" s="621" t="str">
        <f>IF(D178=0,"",MID(旧貼付用!C23,FIND("ロゴ",旧貼付用!C23)+2,LEN(旧貼付用!C23)))</f>
        <v/>
      </c>
      <c r="AE178" s="621"/>
      <c r="AF178" s="621"/>
      <c r="AG178" s="621"/>
      <c r="AH178" s="31" t="str">
        <f t="shared" si="6"/>
        <v/>
      </c>
      <c r="AI178" s="106" t="str">
        <f>IF(D178=0,"",旧貼付用!E23)</f>
        <v/>
      </c>
      <c r="AJ178" s="108"/>
      <c r="AK178" s="20" t="str">
        <f>IF(D178=0,"",旧貼付用!E48)</f>
        <v/>
      </c>
      <c r="AL178" s="29"/>
      <c r="AM178" s="15"/>
      <c r="AN178" s="625" t="str">
        <f>IF(D178=0,"",VLOOKUP(D178,商品!$A$2:$E$1753,2,FALSE))</f>
        <v/>
      </c>
      <c r="AO178" s="626"/>
      <c r="AP178" s="627"/>
      <c r="AQ178" s="15"/>
      <c r="AR178" s="15"/>
      <c r="AS178" s="15"/>
      <c r="AT178" s="16"/>
    </row>
    <row r="179" spans="1:46" ht="15.6" x14ac:dyDescent="0.15">
      <c r="B179" s="630">
        <v>19</v>
      </c>
      <c r="C179" s="631"/>
      <c r="D179" s="351">
        <f t="shared" si="3"/>
        <v>0</v>
      </c>
      <c r="E179" s="352"/>
      <c r="F179" s="352"/>
      <c r="G179" s="353"/>
      <c r="H179" s="632" t="str">
        <f>IF(D179=0,"",VLOOKUP(D179,商品!A20:G1796,7,FALSE))</f>
        <v/>
      </c>
      <c r="I179" s="633"/>
      <c r="J179" s="633"/>
      <c r="K179" s="633"/>
      <c r="L179" s="633"/>
      <c r="M179" s="633"/>
      <c r="N179" s="633"/>
      <c r="O179" s="633"/>
      <c r="P179" s="633"/>
      <c r="Q179" s="633"/>
      <c r="R179" s="633"/>
      <c r="S179" s="634"/>
      <c r="T179" s="622" t="str">
        <f>IF(D179=0,"",旧貼付用!D24)</f>
        <v/>
      </c>
      <c r="U179" s="621"/>
      <c r="V179" s="623"/>
      <c r="W179" s="622" t="str">
        <f>IF(D179=0,"",LEFT(旧貼付用!C24,FIND("_",旧貼付用!C24)-1))</f>
        <v/>
      </c>
      <c r="X179" s="621"/>
      <c r="Y179" s="621"/>
      <c r="Z179" s="624" t="str">
        <f>IF(D179=0,"",LEFT(旧貼付用!C24,FIND("×",旧貼付用!C24)-1))</f>
        <v/>
      </c>
      <c r="AA179" s="621"/>
      <c r="AB179" s="97" t="str">
        <f t="shared" si="4"/>
        <v/>
      </c>
      <c r="AC179" s="103" t="str">
        <f t="shared" si="5"/>
        <v/>
      </c>
      <c r="AD179" s="621" t="str">
        <f>IF(D179=0,"",MID(旧貼付用!C24,FIND("ロゴ",旧貼付用!C24)+2,LEN(旧貼付用!C24)))</f>
        <v/>
      </c>
      <c r="AE179" s="621"/>
      <c r="AF179" s="621"/>
      <c r="AG179" s="621"/>
      <c r="AH179" s="31" t="str">
        <f t="shared" si="6"/>
        <v/>
      </c>
      <c r="AI179" s="106" t="str">
        <f>IF(D179=0,"",旧貼付用!E24)</f>
        <v/>
      </c>
      <c r="AJ179" s="108"/>
      <c r="AK179" s="20" t="str">
        <f>IF(D179=0,"",旧貼付用!E49)</f>
        <v/>
      </c>
      <c r="AL179" s="29"/>
      <c r="AM179" s="15"/>
      <c r="AN179" s="625" t="str">
        <f>IF(D179=0,"",VLOOKUP(D179,商品!$A$2:$E$1753,2,FALSE))</f>
        <v/>
      </c>
      <c r="AO179" s="626"/>
      <c r="AP179" s="627"/>
      <c r="AQ179" s="15"/>
      <c r="AR179" s="15"/>
      <c r="AS179" s="15"/>
      <c r="AT179" s="16"/>
    </row>
    <row r="180" spans="1:46" ht="16.2" thickBot="1" x14ac:dyDescent="0.2">
      <c r="B180" s="616">
        <v>20</v>
      </c>
      <c r="C180" s="617"/>
      <c r="D180" s="372">
        <f t="shared" si="3"/>
        <v>0</v>
      </c>
      <c r="E180" s="373"/>
      <c r="F180" s="373"/>
      <c r="G180" s="374"/>
      <c r="H180" s="618" t="str">
        <f>IF(D180=0,"",VLOOKUP(D180,商品!A21:G1797,7,FALSE))</f>
        <v/>
      </c>
      <c r="I180" s="619"/>
      <c r="J180" s="619"/>
      <c r="K180" s="619"/>
      <c r="L180" s="619"/>
      <c r="M180" s="619"/>
      <c r="N180" s="619"/>
      <c r="O180" s="619"/>
      <c r="P180" s="619"/>
      <c r="Q180" s="619"/>
      <c r="R180" s="619"/>
      <c r="S180" s="620"/>
      <c r="T180" s="622" t="str">
        <f>IF(D180=0,"",旧貼付用!D25)</f>
        <v/>
      </c>
      <c r="U180" s="621"/>
      <c r="V180" s="623"/>
      <c r="W180" s="622" t="str">
        <f>IF(D180=0,"",LEFT(旧貼付用!C25,FIND("_",旧貼付用!C25)-1))</f>
        <v/>
      </c>
      <c r="X180" s="621"/>
      <c r="Y180" s="621"/>
      <c r="Z180" s="628" t="str">
        <f>IF(D180=0,"",LEFT(旧貼付用!C25,FIND("×",旧貼付用!C25)-1))</f>
        <v/>
      </c>
      <c r="AA180" s="629"/>
      <c r="AB180" s="104" t="str">
        <f t="shared" si="4"/>
        <v/>
      </c>
      <c r="AC180" s="105" t="str">
        <f t="shared" si="5"/>
        <v/>
      </c>
      <c r="AD180" s="621" t="str">
        <f>IF(D180=0,"",MID(旧貼付用!C25,FIND("ロゴ",旧貼付用!C25)+2,LEN(旧貼付用!C25)))</f>
        <v/>
      </c>
      <c r="AE180" s="621"/>
      <c r="AF180" s="621"/>
      <c r="AG180" s="621"/>
      <c r="AH180" s="31" t="str">
        <f t="shared" si="6"/>
        <v/>
      </c>
      <c r="AI180" s="106" t="str">
        <f>IF(D180=0,"",旧貼付用!E25)</f>
        <v/>
      </c>
      <c r="AJ180" s="109"/>
      <c r="AK180" s="21" t="str">
        <f>IF(D180=0,"",旧貼付用!E50)</f>
        <v/>
      </c>
      <c r="AL180" s="29"/>
      <c r="AM180" s="15"/>
      <c r="AN180" s="625" t="str">
        <f>IF(D180=0,"",VLOOKUP(D180,商品!$A$2:$E$1753,2,FALSE))</f>
        <v/>
      </c>
      <c r="AO180" s="626"/>
      <c r="AP180" s="627"/>
      <c r="AQ180" s="15"/>
      <c r="AR180" s="15"/>
      <c r="AS180" s="15"/>
      <c r="AT180" s="16"/>
    </row>
    <row r="183" spans="1:46" ht="15" customHeight="1" x14ac:dyDescent="0.2">
      <c r="A183" t="s">
        <v>3729</v>
      </c>
      <c r="B183" t="s">
        <v>3744</v>
      </c>
    </row>
    <row r="184" spans="1:46" ht="15" customHeight="1" x14ac:dyDescent="0.2">
      <c r="A184" t="s">
        <v>3730</v>
      </c>
      <c r="B184" t="s">
        <v>3745</v>
      </c>
    </row>
    <row r="185" spans="1:46" ht="15" customHeight="1" x14ac:dyDescent="0.2">
      <c r="A185" t="s">
        <v>3731</v>
      </c>
      <c r="B185" t="s">
        <v>3746</v>
      </c>
    </row>
    <row r="186" spans="1:46" ht="15" customHeight="1" x14ac:dyDescent="0.2">
      <c r="A186" t="s">
        <v>3732</v>
      </c>
      <c r="B186" t="s">
        <v>3747</v>
      </c>
    </row>
    <row r="187" spans="1:46" ht="15" customHeight="1" x14ac:dyDescent="0.2">
      <c r="A187" t="s">
        <v>3733</v>
      </c>
      <c r="B187" t="s">
        <v>3748</v>
      </c>
    </row>
    <row r="188" spans="1:46" ht="15" customHeight="1" x14ac:dyDescent="0.2">
      <c r="A188" t="s">
        <v>3734</v>
      </c>
      <c r="B188" t="s">
        <v>3749</v>
      </c>
    </row>
    <row r="189" spans="1:46" ht="15" customHeight="1" x14ac:dyDescent="0.2">
      <c r="A189" t="s">
        <v>3735</v>
      </c>
      <c r="B189" t="s">
        <v>3750</v>
      </c>
    </row>
    <row r="190" spans="1:46" ht="15" customHeight="1" x14ac:dyDescent="0.2">
      <c r="A190" t="s">
        <v>3736</v>
      </c>
      <c r="B190" t="s">
        <v>3751</v>
      </c>
    </row>
    <row r="191" spans="1:46" ht="15" customHeight="1" x14ac:dyDescent="0.2">
      <c r="A191" t="s">
        <v>3737</v>
      </c>
      <c r="B191" t="s">
        <v>3752</v>
      </c>
    </row>
    <row r="192" spans="1:46" ht="15" customHeight="1" x14ac:dyDescent="0.2">
      <c r="A192" t="s">
        <v>3738</v>
      </c>
      <c r="B192" t="s">
        <v>3753</v>
      </c>
    </row>
    <row r="193" spans="1:2" ht="15" customHeight="1" x14ac:dyDescent="0.2">
      <c r="A193" t="s">
        <v>3739</v>
      </c>
      <c r="B193" t="s">
        <v>3754</v>
      </c>
    </row>
    <row r="194" spans="1:2" ht="15" customHeight="1" x14ac:dyDescent="0.2">
      <c r="A194" t="s">
        <v>3740</v>
      </c>
      <c r="B194" t="s">
        <v>3755</v>
      </c>
    </row>
    <row r="195" spans="1:2" ht="15" customHeight="1" x14ac:dyDescent="0.2">
      <c r="A195" t="s">
        <v>3741</v>
      </c>
      <c r="B195" t="s">
        <v>3756</v>
      </c>
    </row>
    <row r="196" spans="1:2" ht="15" customHeight="1" x14ac:dyDescent="0.2">
      <c r="A196" t="s">
        <v>3742</v>
      </c>
      <c r="B196" t="s">
        <v>3757</v>
      </c>
    </row>
    <row r="197" spans="1:2" ht="15" customHeight="1" x14ac:dyDescent="0.2">
      <c r="A197" t="s">
        <v>3743</v>
      </c>
      <c r="B197" t="s">
        <v>3758</v>
      </c>
    </row>
  </sheetData>
  <mergeCells count="414">
    <mergeCell ref="AA111:AB111"/>
    <mergeCell ref="AA112:AB112"/>
    <mergeCell ref="B112:C112"/>
    <mergeCell ref="D112:G112"/>
    <mergeCell ref="H112:S112"/>
    <mergeCell ref="T112:X112"/>
    <mergeCell ref="Y112:Z112"/>
    <mergeCell ref="B111:G111"/>
    <mergeCell ref="H111:S111"/>
    <mergeCell ref="T111:Z111"/>
    <mergeCell ref="B113:C113"/>
    <mergeCell ref="D113:G113"/>
    <mergeCell ref="H113:S113"/>
    <mergeCell ref="T113:X113"/>
    <mergeCell ref="H115:S115"/>
    <mergeCell ref="T115:X115"/>
    <mergeCell ref="Y113:Z113"/>
    <mergeCell ref="Y115:Z115"/>
    <mergeCell ref="AA113:AB113"/>
    <mergeCell ref="AA115:AB115"/>
    <mergeCell ref="B116:C116"/>
    <mergeCell ref="D116:G116"/>
    <mergeCell ref="Y114:Z114"/>
    <mergeCell ref="AA114:AB114"/>
    <mergeCell ref="B114:C114"/>
    <mergeCell ref="D114:G114"/>
    <mergeCell ref="H114:S114"/>
    <mergeCell ref="T114:X114"/>
    <mergeCell ref="B115:C115"/>
    <mergeCell ref="D115:G115"/>
    <mergeCell ref="Y119:Z119"/>
    <mergeCell ref="AA119:AB119"/>
    <mergeCell ref="Y118:Z118"/>
    <mergeCell ref="AA118:AB118"/>
    <mergeCell ref="Y117:Z117"/>
    <mergeCell ref="AA117:AB117"/>
    <mergeCell ref="Y116:Z116"/>
    <mergeCell ref="AA116:AB116"/>
    <mergeCell ref="H116:S116"/>
    <mergeCell ref="T116:X116"/>
    <mergeCell ref="B118:C118"/>
    <mergeCell ref="D118:G118"/>
    <mergeCell ref="H118:S118"/>
    <mergeCell ref="T118:X118"/>
    <mergeCell ref="B119:C119"/>
    <mergeCell ref="D119:G119"/>
    <mergeCell ref="H119:S119"/>
    <mergeCell ref="T119:X119"/>
    <mergeCell ref="H117:S117"/>
    <mergeCell ref="T117:X117"/>
    <mergeCell ref="B117:C117"/>
    <mergeCell ref="D117:G117"/>
    <mergeCell ref="AA123:AB123"/>
    <mergeCell ref="Y122:Z122"/>
    <mergeCell ref="AA122:AB122"/>
    <mergeCell ref="Y121:Z121"/>
    <mergeCell ref="AA121:AB121"/>
    <mergeCell ref="Y120:Z120"/>
    <mergeCell ref="AA120:AB120"/>
    <mergeCell ref="B121:C121"/>
    <mergeCell ref="D121:G121"/>
    <mergeCell ref="B120:C120"/>
    <mergeCell ref="D120:G120"/>
    <mergeCell ref="H120:S120"/>
    <mergeCell ref="T120:X120"/>
    <mergeCell ref="H121:S121"/>
    <mergeCell ref="T121:X121"/>
    <mergeCell ref="B122:C122"/>
    <mergeCell ref="D122:G122"/>
    <mergeCell ref="H122:S122"/>
    <mergeCell ref="T122:X122"/>
    <mergeCell ref="B123:C123"/>
    <mergeCell ref="D123:G123"/>
    <mergeCell ref="H123:S123"/>
    <mergeCell ref="T123:X123"/>
    <mergeCell ref="Y123:Z123"/>
    <mergeCell ref="AA127:AB127"/>
    <mergeCell ref="Y126:Z126"/>
    <mergeCell ref="AA126:AB126"/>
    <mergeCell ref="Y125:Z125"/>
    <mergeCell ref="AA125:AB125"/>
    <mergeCell ref="Y124:Z124"/>
    <mergeCell ref="AA124:AB124"/>
    <mergeCell ref="B125:C125"/>
    <mergeCell ref="D125:G125"/>
    <mergeCell ref="B124:C124"/>
    <mergeCell ref="D124:G124"/>
    <mergeCell ref="H124:S124"/>
    <mergeCell ref="T124:X124"/>
    <mergeCell ref="H125:S125"/>
    <mergeCell ref="T125:X125"/>
    <mergeCell ref="B126:C126"/>
    <mergeCell ref="D126:G126"/>
    <mergeCell ref="H126:S126"/>
    <mergeCell ref="T126:X126"/>
    <mergeCell ref="B127:C127"/>
    <mergeCell ref="D127:G127"/>
    <mergeCell ref="H127:S127"/>
    <mergeCell ref="T127:X127"/>
    <mergeCell ref="Y127:Z127"/>
    <mergeCell ref="AA131:AB131"/>
    <mergeCell ref="Y130:Z130"/>
    <mergeCell ref="AA130:AB130"/>
    <mergeCell ref="Y129:Z129"/>
    <mergeCell ref="AA129:AB129"/>
    <mergeCell ref="Y128:Z128"/>
    <mergeCell ref="AA128:AB128"/>
    <mergeCell ref="B129:C129"/>
    <mergeCell ref="D129:G129"/>
    <mergeCell ref="B128:C128"/>
    <mergeCell ref="D128:G128"/>
    <mergeCell ref="H128:S128"/>
    <mergeCell ref="T128:X128"/>
    <mergeCell ref="H129:S129"/>
    <mergeCell ref="T129:X129"/>
    <mergeCell ref="B130:C130"/>
    <mergeCell ref="D130:G130"/>
    <mergeCell ref="H130:S130"/>
    <mergeCell ref="T130:X130"/>
    <mergeCell ref="B131:C131"/>
    <mergeCell ref="D131:G131"/>
    <mergeCell ref="H131:S131"/>
    <mergeCell ref="T131:X131"/>
    <mergeCell ref="Y131:Z131"/>
    <mergeCell ref="B135:C135"/>
    <mergeCell ref="D135:G135"/>
    <mergeCell ref="H135:S135"/>
    <mergeCell ref="T135:W135"/>
    <mergeCell ref="B134:G134"/>
    <mergeCell ref="H134:S134"/>
    <mergeCell ref="T134:Z134"/>
    <mergeCell ref="AD134:AF134"/>
    <mergeCell ref="Y135:Z135"/>
    <mergeCell ref="AD135:AF135"/>
    <mergeCell ref="AD138:AF138"/>
    <mergeCell ref="Y137:Z137"/>
    <mergeCell ref="AD137:AF137"/>
    <mergeCell ref="Y136:Z136"/>
    <mergeCell ref="AD136:AF136"/>
    <mergeCell ref="B136:C136"/>
    <mergeCell ref="D136:G136"/>
    <mergeCell ref="H136:S136"/>
    <mergeCell ref="T136:W136"/>
    <mergeCell ref="B137:C137"/>
    <mergeCell ref="D137:G137"/>
    <mergeCell ref="H137:S137"/>
    <mergeCell ref="T137:W137"/>
    <mergeCell ref="B138:C138"/>
    <mergeCell ref="D138:G138"/>
    <mergeCell ref="H138:S138"/>
    <mergeCell ref="T138:W138"/>
    <mergeCell ref="Y138:Z138"/>
    <mergeCell ref="AD142:AF142"/>
    <mergeCell ref="Y141:Z141"/>
    <mergeCell ref="AD141:AF141"/>
    <mergeCell ref="Y140:Z140"/>
    <mergeCell ref="AD140:AF140"/>
    <mergeCell ref="Y139:Z139"/>
    <mergeCell ref="AD139:AF139"/>
    <mergeCell ref="B140:C140"/>
    <mergeCell ref="D140:G140"/>
    <mergeCell ref="B139:C139"/>
    <mergeCell ref="D139:G139"/>
    <mergeCell ref="H139:S139"/>
    <mergeCell ref="T139:W139"/>
    <mergeCell ref="H140:S140"/>
    <mergeCell ref="T140:W140"/>
    <mergeCell ref="B141:C141"/>
    <mergeCell ref="D141:G141"/>
    <mergeCell ref="H141:S141"/>
    <mergeCell ref="T141:W141"/>
    <mergeCell ref="B142:C142"/>
    <mergeCell ref="D142:G142"/>
    <mergeCell ref="H142:S142"/>
    <mergeCell ref="T142:W142"/>
    <mergeCell ref="Y142:Z142"/>
    <mergeCell ref="AD146:AF146"/>
    <mergeCell ref="Y145:Z145"/>
    <mergeCell ref="AD145:AF145"/>
    <mergeCell ref="Y144:Z144"/>
    <mergeCell ref="AD144:AF144"/>
    <mergeCell ref="Y143:Z143"/>
    <mergeCell ref="AD143:AF143"/>
    <mergeCell ref="B144:C144"/>
    <mergeCell ref="D144:G144"/>
    <mergeCell ref="B143:C143"/>
    <mergeCell ref="D143:G143"/>
    <mergeCell ref="H143:S143"/>
    <mergeCell ref="T143:W143"/>
    <mergeCell ref="H144:S144"/>
    <mergeCell ref="T144:W144"/>
    <mergeCell ref="B145:C145"/>
    <mergeCell ref="D145:G145"/>
    <mergeCell ref="H145:S145"/>
    <mergeCell ref="T145:W145"/>
    <mergeCell ref="B146:C146"/>
    <mergeCell ref="D146:G146"/>
    <mergeCell ref="H146:S146"/>
    <mergeCell ref="T146:W146"/>
    <mergeCell ref="Y146:Z146"/>
    <mergeCell ref="AD150:AF150"/>
    <mergeCell ref="Y149:Z149"/>
    <mergeCell ref="AD149:AF149"/>
    <mergeCell ref="Y148:Z148"/>
    <mergeCell ref="AD148:AF148"/>
    <mergeCell ref="Y147:Z147"/>
    <mergeCell ref="AD147:AF147"/>
    <mergeCell ref="B148:C148"/>
    <mergeCell ref="D148:G148"/>
    <mergeCell ref="B147:C147"/>
    <mergeCell ref="D147:G147"/>
    <mergeCell ref="H147:S147"/>
    <mergeCell ref="T147:W147"/>
    <mergeCell ref="H148:S148"/>
    <mergeCell ref="T148:W148"/>
    <mergeCell ref="B149:C149"/>
    <mergeCell ref="D149:G149"/>
    <mergeCell ref="H149:S149"/>
    <mergeCell ref="T149:W149"/>
    <mergeCell ref="B150:C150"/>
    <mergeCell ref="D150:G150"/>
    <mergeCell ref="H150:S150"/>
    <mergeCell ref="T150:W150"/>
    <mergeCell ref="Y150:Z150"/>
    <mergeCell ref="AD154:AF154"/>
    <mergeCell ref="Y153:Z153"/>
    <mergeCell ref="AD153:AF153"/>
    <mergeCell ref="Y152:Z152"/>
    <mergeCell ref="AD152:AF152"/>
    <mergeCell ref="Y151:Z151"/>
    <mergeCell ref="AD151:AF151"/>
    <mergeCell ref="B152:C152"/>
    <mergeCell ref="D152:G152"/>
    <mergeCell ref="B151:C151"/>
    <mergeCell ref="D151:G151"/>
    <mergeCell ref="H151:S151"/>
    <mergeCell ref="T151:W151"/>
    <mergeCell ref="H152:S152"/>
    <mergeCell ref="T152:W152"/>
    <mergeCell ref="B153:C153"/>
    <mergeCell ref="D153:G153"/>
    <mergeCell ref="H153:S153"/>
    <mergeCell ref="T153:W153"/>
    <mergeCell ref="B154:C154"/>
    <mergeCell ref="D154:G154"/>
    <mergeCell ref="H154:S154"/>
    <mergeCell ref="T154:W154"/>
    <mergeCell ref="Y154:Z154"/>
    <mergeCell ref="B162:C162"/>
    <mergeCell ref="D162:G162"/>
    <mergeCell ref="H162:S162"/>
    <mergeCell ref="AD162:AG162"/>
    <mergeCell ref="AN162:AP162"/>
    <mergeCell ref="B160:G160"/>
    <mergeCell ref="H160:S160"/>
    <mergeCell ref="AN160:AP160"/>
    <mergeCell ref="B161:C161"/>
    <mergeCell ref="D161:G161"/>
    <mergeCell ref="H161:S161"/>
    <mergeCell ref="AD161:AG161"/>
    <mergeCell ref="AN161:AP161"/>
    <mergeCell ref="Z160:AC160"/>
    <mergeCell ref="Z161:AA161"/>
    <mergeCell ref="Z162:AA162"/>
    <mergeCell ref="W160:Y160"/>
    <mergeCell ref="T160:V160"/>
    <mergeCell ref="T161:V161"/>
    <mergeCell ref="T162:V162"/>
    <mergeCell ref="W161:Y161"/>
    <mergeCell ref="W162:Y162"/>
    <mergeCell ref="B164:C164"/>
    <mergeCell ref="D164:G164"/>
    <mergeCell ref="H164:S164"/>
    <mergeCell ref="AD164:AG164"/>
    <mergeCell ref="AN164:AP164"/>
    <mergeCell ref="B163:C163"/>
    <mergeCell ref="D163:G163"/>
    <mergeCell ref="H163:S163"/>
    <mergeCell ref="AD163:AG163"/>
    <mergeCell ref="AN163:AP163"/>
    <mergeCell ref="W163:Y163"/>
    <mergeCell ref="W164:Y164"/>
    <mergeCell ref="Z163:AA163"/>
    <mergeCell ref="Z164:AA164"/>
    <mergeCell ref="T163:V163"/>
    <mergeCell ref="T164:V164"/>
    <mergeCell ref="B166:C166"/>
    <mergeCell ref="D166:G166"/>
    <mergeCell ref="H166:S166"/>
    <mergeCell ref="AD166:AG166"/>
    <mergeCell ref="AN166:AP166"/>
    <mergeCell ref="T166:V166"/>
    <mergeCell ref="Z166:AA166"/>
    <mergeCell ref="W166:Y166"/>
    <mergeCell ref="B165:C165"/>
    <mergeCell ref="D165:G165"/>
    <mergeCell ref="H165:S165"/>
    <mergeCell ref="AD165:AG165"/>
    <mergeCell ref="AN165:AP165"/>
    <mergeCell ref="T165:V165"/>
    <mergeCell ref="W165:Y165"/>
    <mergeCell ref="Z165:AA165"/>
    <mergeCell ref="B168:C168"/>
    <mergeCell ref="D168:G168"/>
    <mergeCell ref="H168:S168"/>
    <mergeCell ref="AD168:AG168"/>
    <mergeCell ref="AN168:AP168"/>
    <mergeCell ref="W168:Y168"/>
    <mergeCell ref="T168:V168"/>
    <mergeCell ref="Z168:AA168"/>
    <mergeCell ref="B167:C167"/>
    <mergeCell ref="D167:G167"/>
    <mergeCell ref="H167:S167"/>
    <mergeCell ref="AD167:AG167"/>
    <mergeCell ref="AN167:AP167"/>
    <mergeCell ref="W167:Y167"/>
    <mergeCell ref="T167:V167"/>
    <mergeCell ref="Z167:AA167"/>
    <mergeCell ref="B170:C170"/>
    <mergeCell ref="D170:G170"/>
    <mergeCell ref="H170:S170"/>
    <mergeCell ref="AD170:AG170"/>
    <mergeCell ref="AN170:AP170"/>
    <mergeCell ref="W170:Y170"/>
    <mergeCell ref="T170:V170"/>
    <mergeCell ref="Z170:AA170"/>
    <mergeCell ref="B169:C169"/>
    <mergeCell ref="D169:G169"/>
    <mergeCell ref="H169:S169"/>
    <mergeCell ref="AD169:AG169"/>
    <mergeCell ref="AN169:AP169"/>
    <mergeCell ref="W169:Y169"/>
    <mergeCell ref="T169:V169"/>
    <mergeCell ref="Z169:AA169"/>
    <mergeCell ref="B172:C172"/>
    <mergeCell ref="D172:G172"/>
    <mergeCell ref="H172:S172"/>
    <mergeCell ref="AD172:AG172"/>
    <mergeCell ref="AN172:AP172"/>
    <mergeCell ref="W172:Y172"/>
    <mergeCell ref="T172:V172"/>
    <mergeCell ref="Z172:AA172"/>
    <mergeCell ref="B171:C171"/>
    <mergeCell ref="D171:G171"/>
    <mergeCell ref="H171:S171"/>
    <mergeCell ref="AD171:AG171"/>
    <mergeCell ref="AN171:AP171"/>
    <mergeCell ref="W171:Y171"/>
    <mergeCell ref="T171:V171"/>
    <mergeCell ref="Z171:AA171"/>
    <mergeCell ref="AD174:AG174"/>
    <mergeCell ref="AN174:AP174"/>
    <mergeCell ref="W174:Y174"/>
    <mergeCell ref="T174:V174"/>
    <mergeCell ref="Z174:AA174"/>
    <mergeCell ref="B173:C173"/>
    <mergeCell ref="D173:G173"/>
    <mergeCell ref="H173:S173"/>
    <mergeCell ref="AD173:AG173"/>
    <mergeCell ref="AN173:AP173"/>
    <mergeCell ref="W173:Y173"/>
    <mergeCell ref="T173:V173"/>
    <mergeCell ref="Z173:AA173"/>
    <mergeCell ref="B174:C174"/>
    <mergeCell ref="D174:G174"/>
    <mergeCell ref="H174:S174"/>
    <mergeCell ref="AD176:AG176"/>
    <mergeCell ref="AN176:AP176"/>
    <mergeCell ref="W176:Y176"/>
    <mergeCell ref="T176:V176"/>
    <mergeCell ref="Z176:AA176"/>
    <mergeCell ref="B175:C175"/>
    <mergeCell ref="D175:G175"/>
    <mergeCell ref="H175:S175"/>
    <mergeCell ref="AD175:AG175"/>
    <mergeCell ref="AN175:AP175"/>
    <mergeCell ref="W175:Y175"/>
    <mergeCell ref="T175:V175"/>
    <mergeCell ref="Z175:AA175"/>
    <mergeCell ref="B176:C176"/>
    <mergeCell ref="D176:G176"/>
    <mergeCell ref="H176:S176"/>
    <mergeCell ref="AD178:AG178"/>
    <mergeCell ref="AN178:AP178"/>
    <mergeCell ref="W178:Y178"/>
    <mergeCell ref="T178:V178"/>
    <mergeCell ref="Z178:AA178"/>
    <mergeCell ref="B177:C177"/>
    <mergeCell ref="D177:G177"/>
    <mergeCell ref="H177:S177"/>
    <mergeCell ref="AD177:AG177"/>
    <mergeCell ref="AN177:AP177"/>
    <mergeCell ref="W177:Y177"/>
    <mergeCell ref="T177:V177"/>
    <mergeCell ref="Z177:AA177"/>
    <mergeCell ref="B178:C178"/>
    <mergeCell ref="D178:G178"/>
    <mergeCell ref="H178:S178"/>
    <mergeCell ref="B180:C180"/>
    <mergeCell ref="D180:G180"/>
    <mergeCell ref="H180:S180"/>
    <mergeCell ref="AD180:AG180"/>
    <mergeCell ref="T179:V179"/>
    <mergeCell ref="Z179:AA179"/>
    <mergeCell ref="AN180:AP180"/>
    <mergeCell ref="W180:Y180"/>
    <mergeCell ref="T180:V180"/>
    <mergeCell ref="Z180:AA180"/>
    <mergeCell ref="B179:C179"/>
    <mergeCell ref="D179:G179"/>
    <mergeCell ref="H179:S179"/>
    <mergeCell ref="AD179:AG179"/>
    <mergeCell ref="AN179:AP179"/>
    <mergeCell ref="W179:Y179"/>
  </mergeCells>
  <phoneticPr fontId="6"/>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13</vt:i4>
      </vt:variant>
      <vt:variant>
        <vt:lpstr>名前付き一覧</vt:lpstr>
      </vt:variant>
      <vt:variant>
        <vt:i4>10</vt:i4>
      </vt:variant>
    </vt:vector>
  </HeadingPairs>
  <TitlesOfParts>
    <vt:vector size="23" baseType="lpstr">
      <vt:lpstr>営業</vt:lpstr>
      <vt:lpstr>営業（自由入力）</vt:lpstr>
      <vt:lpstr>発注（自由）</vt:lpstr>
      <vt:lpstr>無地</vt:lpstr>
      <vt:lpstr>ｷｰﾌﾟ</vt:lpstr>
      <vt:lpstr>無地（自由）</vt:lpstr>
      <vt:lpstr>在庫出荷</vt:lpstr>
      <vt:lpstr>楽天</vt:lpstr>
      <vt:lpstr>窓枠</vt:lpstr>
      <vt:lpstr>旧貼付用</vt:lpstr>
      <vt:lpstr>出荷依頼書</vt:lpstr>
      <vt:lpstr>商品</vt:lpstr>
      <vt:lpstr>メーカー加工場</vt:lpstr>
      <vt:lpstr>ｷｰﾌﾟ!Print_Area</vt:lpstr>
      <vt:lpstr>営業!Print_Area</vt:lpstr>
      <vt:lpstr>'営業（自由入力）'!Print_Area</vt:lpstr>
      <vt:lpstr>楽天!Print_Area</vt:lpstr>
      <vt:lpstr>在庫出荷!Print_Area</vt:lpstr>
      <vt:lpstr>出荷依頼書!Print_Area</vt:lpstr>
      <vt:lpstr>窓枠!Print_Area</vt:lpstr>
      <vt:lpstr>'発注（自由）'!Print_Area</vt:lpstr>
      <vt:lpstr>無地!Print_Area</vt:lpstr>
      <vt:lpstr>'無地（自由）'!Print_Area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Plus1-71-PC</dc:creator>
  <cp:lastModifiedBy>マイクロソフト アカウント</cp:lastModifiedBy>
  <cp:lastPrinted>2022-02-28T00:13:05Z</cp:lastPrinted>
  <dcterms:created xsi:type="dcterms:W3CDTF">2012-02-13T00:29:11Z</dcterms:created>
  <dcterms:modified xsi:type="dcterms:W3CDTF">2025-06-23T08:42:23Z</dcterms:modified>
</cp:coreProperties>
</file>